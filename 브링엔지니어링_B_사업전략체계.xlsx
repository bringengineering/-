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포지셔닝" sheetId="1" state="visible" r:id="rId1"/>
    <sheet xmlns:r="http://schemas.openxmlformats.org/officeDocument/2006/relationships" name="경쟁사분석" sheetId="2" state="visible" r:id="rId2"/>
    <sheet xmlns:r="http://schemas.openxmlformats.org/officeDocument/2006/relationships" name="OKR_목표관리" sheetId="3" state="visible" r:id="rId3"/>
    <sheet xmlns:r="http://schemas.openxmlformats.org/officeDocument/2006/relationships" name="영업·고객파이프라인" sheetId="4" state="visible" r:id="rId4"/>
    <sheet xmlns:r="http://schemas.openxmlformats.org/officeDocument/2006/relationships" name="재무·예산관리" sheetId="5" state="visible" r:id="rId5"/>
    <sheet xmlns:r="http://schemas.openxmlformats.org/officeDocument/2006/relationships" name="기술R&amp;D로드맵" sheetId="6" state="visible" r:id="rId6"/>
    <sheet xmlns:r="http://schemas.openxmlformats.org/officeDocument/2006/relationships" name="브랜드·홍보관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FFFFFF"/>
      <sz val="11"/>
    </font>
    <font>
      <name val="Arial"/>
      <b val="1"/>
      <color rgb="001E293B"/>
      <sz val="9"/>
    </font>
    <font>
      <name val="Arial"/>
      <b val="1"/>
      <sz val="9"/>
    </font>
    <font>
      <name val="Arial"/>
      <sz val="9"/>
    </font>
    <font>
      <name val="Arial"/>
      <b val="1"/>
      <color rgb="00DC2626"/>
      <sz val="9"/>
    </font>
    <font>
      <name val="Arial"/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10B981"/>
      </patternFill>
    </fill>
    <fill>
      <patternFill patternType="solid">
        <fgColor rgb="00D1FAE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 indent="2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left" vertical="center" wrapText="1" indent="1"/>
    </xf>
    <xf numFmtId="0" fontId="3" fillId="13" borderId="1" applyAlignment="1" pivotButton="0" quotePrefix="0" xfId="0">
      <alignment horizontal="left" vertical="center" wrapText="1" indent="1"/>
    </xf>
    <xf numFmtId="0" fontId="4" fillId="1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vertical="center" wrapText="1" indent="1"/>
    </xf>
    <xf numFmtId="0" fontId="8" fillId="15" borderId="1" applyAlignment="1" pivotButton="0" quotePrefix="0" xfId="0">
      <alignment vertical="center" wrapText="1" indent="1"/>
    </xf>
    <xf numFmtId="0" fontId="7" fillId="16" borderId="1" applyAlignment="1" pivotButton="0" quotePrefix="0" xfId="0">
      <alignment vertical="center" wrapText="1" indent="1"/>
    </xf>
    <xf numFmtId="0" fontId="8" fillId="16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 indent="1"/>
    </xf>
    <xf numFmtId="0" fontId="9" fillId="1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 indent="1"/>
    </xf>
    <xf numFmtId="0" fontId="8" fillId="6" borderId="1" applyAlignment="1" pivotButton="0" quotePrefix="0" xfId="0">
      <alignment vertical="center" wrapText="1" indent="1"/>
    </xf>
    <xf numFmtId="0" fontId="7" fillId="12" borderId="1" applyAlignment="1" pivotButton="0" quotePrefix="0" xfId="0">
      <alignment vertical="center" wrapText="1" indent="1"/>
    </xf>
    <xf numFmtId="0" fontId="8" fillId="12" borderId="1" applyAlignment="1" pivotButton="0" quotePrefix="0" xfId="0">
      <alignment vertical="center" wrapText="1" indent="1"/>
    </xf>
    <xf numFmtId="0" fontId="4" fillId="15" borderId="1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 indent="1"/>
    </xf>
    <xf numFmtId="0" fontId="8" fillId="15" borderId="1" applyAlignment="1" pivotButton="0" quotePrefix="0" xfId="0">
      <alignment horizontal="right" vertical="center" wrapText="1" indent="1"/>
    </xf>
    <xf numFmtId="164" fontId="8" fillId="15" borderId="1" applyAlignment="1" pivotButton="0" quotePrefix="0" xfId="0">
      <alignment horizontal="right" vertical="center" wrapText="1" indent="1"/>
    </xf>
    <xf numFmtId="0" fontId="8" fillId="16" borderId="1" applyAlignment="1" pivotButton="0" quotePrefix="0" xfId="0">
      <alignment horizontal="left" vertical="center" wrapText="1" indent="1"/>
    </xf>
    <xf numFmtId="0" fontId="8" fillId="16" borderId="1" applyAlignment="1" pivotButton="0" quotePrefix="0" xfId="0">
      <alignment horizontal="right" vertical="center" wrapText="1" indent="1"/>
    </xf>
    <xf numFmtId="164" fontId="8" fillId="16" borderId="1" applyAlignment="1" pivotButton="0" quotePrefix="0" xfId="0">
      <alignment horizontal="right" vertical="center" wrapText="1" indent="1"/>
    </xf>
    <xf numFmtId="0" fontId="8" fillId="15" borderId="1" applyAlignment="1" pivotButton="0" quotePrefix="0" xfId="0">
      <alignment horizontal="right" vertical="center" indent="1"/>
    </xf>
    <xf numFmtId="0" fontId="8" fillId="15" borderId="1" applyAlignment="1" pivotButton="0" quotePrefix="0" xfId="0">
      <alignment horizontal="left" vertical="center" indent="1"/>
    </xf>
    <xf numFmtId="0" fontId="8" fillId="16" borderId="1" applyAlignment="1" pivotButton="0" quotePrefix="0" xfId="0">
      <alignment horizontal="right" vertical="center" indent="1"/>
    </xf>
    <xf numFmtId="0" fontId="8" fillId="1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right" vertical="center" indent="1"/>
    </xf>
    <xf numFmtId="0" fontId="8" fillId="6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right" vertical="center" indent="1"/>
    </xf>
    <xf numFmtId="0" fontId="4" fillId="16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right" vertical="center" indent="1"/>
    </xf>
    <xf numFmtId="0" fontId="10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right" vertical="center" indent="1"/>
    </xf>
    <xf numFmtId="0" fontId="10" fillId="3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 indent="1"/>
    </xf>
    <xf numFmtId="0" fontId="8" fillId="15" borderId="1" applyAlignment="1" pivotButton="0" quotePrefix="0" xfId="0">
      <alignment horizontal="center" vertical="center" wrapText="1" indent="1"/>
    </xf>
    <xf numFmtId="0" fontId="7" fillId="16" borderId="1" applyAlignment="1" pivotButton="0" quotePrefix="0" xfId="0">
      <alignment horizontal="left" vertical="center" wrapText="1" indent="1"/>
    </xf>
    <xf numFmtId="0" fontId="8" fillId="16" borderId="1" applyAlignment="1" pivotButton="0" quotePrefix="0" xfId="0">
      <alignment horizontal="center" vertical="center" wrapText="1" indent="1"/>
    </xf>
    <xf numFmtId="0" fontId="6" fillId="15" borderId="1" applyAlignment="1" pivotButton="0" quotePrefix="0" xfId="0">
      <alignment horizontal="left" vertical="center" wrapText="1" indent="1"/>
    </xf>
    <xf numFmtId="0" fontId="6" fillId="1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6" customWidth="1" min="3" max="3"/>
    <col width="20" customWidth="1" min="4" max="4"/>
    <col width="16" customWidth="1" min="5" max="5"/>
  </cols>
  <sheetData>
    <row r="1" ht="8" customHeight="1"/>
    <row r="2" ht="42" customHeight="1">
      <c r="B2" s="1" t="inlineStr">
        <is>
          <t>브링엔지니어링  |  전략 포지셔닝 캔버스</t>
        </is>
      </c>
      <c r="C2" s="2" t="n"/>
      <c r="D2" s="2" t="n"/>
      <c r="E2" s="2" t="n"/>
    </row>
    <row r="3" ht="8" customHeight="1"/>
    <row r="4" ht="40" customHeight="1">
      <c r="B4" s="3" t="inlineStr">
        <is>
          <t>브링엔지니어링의 전략적 정체성과 경쟁 포지션을 1페이지로 정리.
"모듈형 물리 인프라 측정·진단 플랫폼 기업"으로서의 핵심 포지션을 명확히 한다.</t>
        </is>
      </c>
      <c r="C4" s="2" t="n"/>
      <c r="D4" s="2" t="n"/>
      <c r="E4" s="2" t="n"/>
    </row>
    <row r="5" ht="8" customHeight="1"/>
    <row r="6" ht="20" customHeight="1">
      <c r="B6" s="4" t="inlineStr">
        <is>
          <t>핵심 가치 제안 (Value Proposition)</t>
        </is>
      </c>
      <c r="C6" s="2" t="n"/>
      <c r="D6" s="2" t="n"/>
      <c r="E6" s="2" t="n"/>
    </row>
    <row r="7" ht="22" customHeight="1">
      <c r="B7" s="5" t="inlineStr">
        <is>
          <t xml:space="preserve">  터널·도로 등 물리 인프라의 광학 환경을 AI로 정밀 측정·진단하여</t>
        </is>
      </c>
      <c r="C7" s="2" t="n"/>
      <c r="D7" s="2" t="n"/>
      <c r="E7" s="2" t="n"/>
    </row>
    <row r="8" ht="8" customHeight="1">
      <c r="B8" s="5" t="inlineStr">
        <is>
          <t xml:space="preserve">  B2G 시장에 측정 서비스와 솔루션을 제공하는 플랫폼</t>
        </is>
      </c>
      <c r="C8" s="2" t="n"/>
      <c r="D8" s="2" t="n"/>
      <c r="E8" s="2" t="n"/>
    </row>
    <row r="9" ht="20" customHeight="1">
      <c r="B9" s="6" t="inlineStr">
        <is>
          <t>목표 고객 (Target Customer)</t>
        </is>
      </c>
      <c r="C9" s="2" t="n"/>
      <c r="D9" s="2" t="n"/>
      <c r="E9" s="2" t="n"/>
    </row>
    <row r="10" ht="22" customHeight="1">
      <c r="B10" s="7" t="inlineStr">
        <is>
          <t xml:space="preserve">  한국도로공사, 지자체 도로관리기관, 터널 운영 기관,</t>
        </is>
      </c>
      <c r="C10" s="2" t="n"/>
      <c r="D10" s="2" t="n"/>
      <c r="E10" s="2" t="n"/>
    </row>
    <row r="11" ht="8" customHeight="1">
      <c r="B11" s="7" t="inlineStr">
        <is>
          <t xml:space="preserve">  향후 스마트팩토리·태양광 O&amp;M 사업자</t>
        </is>
      </c>
      <c r="C11" s="2" t="n"/>
      <c r="D11" s="2" t="n"/>
      <c r="E11" s="2" t="n"/>
    </row>
    <row r="12" ht="20" customHeight="1">
      <c r="B12" s="8" t="inlineStr">
        <is>
          <t>차별화 요소 (Differentiation)</t>
        </is>
      </c>
      <c r="C12" s="2" t="n"/>
      <c r="D12" s="2" t="n"/>
      <c r="E12" s="2" t="n"/>
    </row>
    <row r="13" ht="22" customHeight="1">
      <c r="B13" s="9" t="inlineStr">
        <is>
          <t>① CIE 88 기준 준수 측정 SOP</t>
        </is>
      </c>
      <c r="C13" s="2" t="n"/>
      <c r="D13" s="2" t="n"/>
      <c r="E13" s="2" t="n"/>
    </row>
    <row r="14" ht="22" customHeight="1">
      <c r="B14" s="9" t="inlineStr">
        <is>
          <t xml:space="preserve">  ② 차량탑재형 이동 진단 (GPS 불필요)</t>
        </is>
      </c>
      <c r="C14" s="2" t="n"/>
      <c r="D14" s="2" t="n"/>
      <c r="E14" s="2" t="n"/>
    </row>
    <row r="15" ht="22" customHeight="1">
      <c r="B15" s="9" t="inlineStr">
        <is>
          <t xml:space="preserve">  ③ AI 분석 엔진 상수 + 센서모듈 교환 구조</t>
        </is>
      </c>
      <c r="C15" s="2" t="n"/>
      <c r="D15" s="2" t="n"/>
      <c r="E15" s="2" t="n"/>
    </row>
    <row r="16" ht="8" customHeight="1">
      <c r="B16" s="9" t="inlineStr">
        <is>
          <t xml:space="preserve">  ④ Lux-Guard 하드웨어와 소프트웨어 패키지 제공</t>
        </is>
      </c>
      <c r="C16" s="2" t="n"/>
      <c r="D16" s="2" t="n"/>
      <c r="E16" s="2" t="n"/>
    </row>
    <row r="17" ht="20" customHeight="1">
      <c r="B17" s="10" t="inlineStr">
        <is>
          <t>수익 모델 (Revenue Model)</t>
        </is>
      </c>
      <c r="C17" s="2" t="n"/>
      <c r="D17" s="2" t="n"/>
      <c r="E17" s="2" t="n"/>
    </row>
    <row r="18" ht="22" customHeight="1">
      <c r="B18" s="11" t="inlineStr">
        <is>
          <t>① VisiScan 측정 서비스 (건당 계약)</t>
        </is>
      </c>
      <c r="C18" s="2" t="n"/>
      <c r="D18" s="2" t="n"/>
      <c r="E18" s="2" t="n"/>
    </row>
    <row r="19" ht="22" customHeight="1">
      <c r="B19" s="11" t="inlineStr">
        <is>
          <t xml:space="preserve">  ② Shadow AI 라이선스·SaaS</t>
        </is>
      </c>
      <c r="C19" s="2" t="n"/>
      <c r="D19" s="2" t="n"/>
      <c r="E19" s="2" t="n"/>
    </row>
    <row r="20" ht="22" customHeight="1">
      <c r="B20" s="11" t="inlineStr">
        <is>
          <t xml:space="preserve">  ③ Lux-Guard 하드웨어 납품</t>
        </is>
      </c>
      <c r="C20" s="2" t="n"/>
      <c r="D20" s="2" t="n"/>
      <c r="E20" s="2" t="n"/>
    </row>
    <row r="21" ht="8" customHeight="1">
      <c r="B21" s="11" t="inlineStr">
        <is>
          <t xml:space="preserve">  ④ FDInnovation IoT 구독</t>
        </is>
      </c>
      <c r="C21" s="2" t="n"/>
      <c r="D21" s="2" t="n"/>
      <c r="E21" s="2" t="n"/>
    </row>
    <row r="22" ht="20" customHeight="1">
      <c r="B22" s="12" t="inlineStr">
        <is>
          <t>핵심 자원·역량 (Key Resources)</t>
        </is>
      </c>
      <c r="C22" s="2" t="n"/>
      <c r="D22" s="2" t="n"/>
      <c r="E22" s="2" t="n"/>
    </row>
    <row r="23" ht="22" customHeight="1">
      <c r="B23" s="13" t="inlineStr">
        <is>
          <t xml:space="preserve">  TRL5 인증 AI 모델 / LMK6 측정장비</t>
        </is>
      </c>
      <c r="C23" s="2" t="n"/>
      <c r="D23" s="2" t="n"/>
      <c r="E23" s="2" t="n"/>
    </row>
    <row r="24" ht="22" customHeight="1">
      <c r="B24" s="13" t="inlineStr">
        <is>
          <t xml:space="preserve">  CIE 88 측정 SOP / KOLAS 인증 로드맵</t>
        </is>
      </c>
      <c r="C24" s="2" t="n"/>
      <c r="D24" s="2" t="n"/>
      <c r="E24" s="2" t="n"/>
    </row>
    <row r="25" ht="8" customHeight="1">
      <c r="B25" s="13" t="inlineStr">
        <is>
          <t xml:space="preserve">  정부과제 수행 레퍼런스 누적</t>
        </is>
      </c>
      <c r="C25" s="2" t="n"/>
      <c r="D25" s="2" t="n"/>
      <c r="E25" s="2" t="n"/>
    </row>
    <row r="26" ht="20" customHeight="1">
      <c r="B26" s="14" t="inlineStr">
        <is>
          <t>주요 리스크 (Key Risks)</t>
        </is>
      </c>
      <c r="C26" s="2" t="n"/>
      <c r="D26" s="2" t="n"/>
      <c r="E26" s="2" t="n"/>
    </row>
    <row r="27" ht="22" customHeight="1">
      <c r="B27" s="15" t="inlineStr">
        <is>
          <t xml:space="preserve">  초기 계약 레퍼런스 부재 / KOLAS 인증 미완</t>
        </is>
      </c>
      <c r="C27" s="2" t="n"/>
      <c r="D27" s="2" t="n"/>
      <c r="E27" s="2" t="n"/>
    </row>
    <row r="28" ht="8" customHeight="1">
      <c r="B28" s="15" t="inlineStr">
        <is>
          <t xml:space="preserve">  LMK6 납품 지연 / 팀 규모 한계</t>
        </is>
      </c>
      <c r="C28" s="2" t="n"/>
      <c r="D28" s="2" t="n"/>
      <c r="E28" s="2" t="n"/>
    </row>
    <row r="29" ht="20" customHeight="1">
      <c r="B29" s="6" t="inlineStr">
        <is>
          <t>5년 목표 (Strategic Goal)</t>
        </is>
      </c>
      <c r="C29" s="2" t="n"/>
      <c r="D29" s="2" t="n"/>
      <c r="E29" s="2" t="n"/>
    </row>
    <row r="30" ht="22" customHeight="1">
      <c r="B30" s="7" t="inlineStr">
        <is>
          <t xml:space="preserve">  2026: VisiScan 첫 계약·레퍼런스 3건</t>
        </is>
      </c>
      <c r="C30" s="2" t="n"/>
      <c r="D30" s="2" t="n"/>
      <c r="E30" s="2" t="n"/>
    </row>
    <row r="31" ht="22" customHeight="1">
      <c r="B31" s="7" t="inlineStr">
        <is>
          <t xml:space="preserve">  2027: Shadow AI 2건·FDInnovation 실증</t>
        </is>
      </c>
      <c r="C31" s="2" t="n"/>
      <c r="D31" s="2" t="n"/>
      <c r="E31" s="2" t="n"/>
    </row>
    <row r="32" ht="22" customHeight="1">
      <c r="B32" s="7" t="inlineStr">
        <is>
          <t xml:space="preserve">  2028~29: 스마트팩토리·태양광 O&amp;M 진출</t>
        </is>
      </c>
      <c r="C32" s="2" t="n"/>
      <c r="D32" s="2" t="n"/>
      <c r="E32" s="2" t="n"/>
    </row>
    <row r="33" ht="22" customHeight="1">
      <c r="B33" s="7" t="inlineStr">
        <is>
          <t xml:space="preserve">  매출 목표 123억 KRW (2031)</t>
        </is>
      </c>
      <c r="C33" s="2" t="n"/>
      <c r="D33" s="2" t="n"/>
      <c r="E33" s="2" t="n"/>
    </row>
  </sheetData>
  <mergeCells count="30">
    <mergeCell ref="B9:E9"/>
    <mergeCell ref="B6:E6"/>
    <mergeCell ref="B30:E30"/>
    <mergeCell ref="B15:E15"/>
    <mergeCell ref="B33:E33"/>
    <mergeCell ref="B24:E24"/>
    <mergeCell ref="B20:E20"/>
    <mergeCell ref="B32:E32"/>
    <mergeCell ref="B26:E26"/>
    <mergeCell ref="B4:E4"/>
    <mergeCell ref="B16:E16"/>
    <mergeCell ref="B7:E7"/>
    <mergeCell ref="B25:E25"/>
    <mergeCell ref="B22:E22"/>
    <mergeCell ref="B31:E31"/>
    <mergeCell ref="B18:E18"/>
    <mergeCell ref="B27:E27"/>
    <mergeCell ref="B12:E12"/>
    <mergeCell ref="B21:E21"/>
    <mergeCell ref="B11:E11"/>
    <mergeCell ref="B2:E2"/>
    <mergeCell ref="B14:E14"/>
    <mergeCell ref="B17:E17"/>
    <mergeCell ref="B23:E23"/>
    <mergeCell ref="B8:E8"/>
    <mergeCell ref="B13:E13"/>
    <mergeCell ref="B29:E29"/>
    <mergeCell ref="B19:E1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8" customHeight="1"/>
    <row r="2" ht="42" customHeight="1">
      <c r="B2" s="1" t="inlineStr">
        <is>
          <t>브링엔지니어링  |  경쟁사 분석 및 포지션 비교</t>
        </is>
      </c>
      <c r="C2" s="2" t="n"/>
      <c r="D2" s="2" t="n"/>
      <c r="E2" s="2" t="n"/>
      <c r="F2" s="2" t="n"/>
      <c r="G2" s="2" t="n"/>
    </row>
    <row r="3" ht="8" customHeight="1"/>
    <row r="4" ht="22" customHeight="1">
      <c r="B4" s="16" t="inlineStr">
        <is>
          <t xml:space="preserve">  ① 직접 경쟁사 비교 (터널 광학·시인성 측정 영역)</t>
        </is>
      </c>
      <c r="C4" s="2" t="n"/>
      <c r="D4" s="2" t="n"/>
      <c r="E4" s="2" t="n"/>
      <c r="F4" s="2" t="n"/>
      <c r="G4" s="2" t="n"/>
    </row>
    <row r="5" ht="20" customHeight="1">
      <c r="B5" s="17" t="inlineStr">
        <is>
          <t>비교 항목</t>
        </is>
      </c>
      <c r="C5" s="17" t="inlineStr">
        <is>
          <t>브링엔지니어링</t>
        </is>
      </c>
      <c r="D5" s="17" t="inlineStr">
        <is>
          <t>국내 측정업체 A</t>
        </is>
      </c>
      <c r="E5" s="17" t="inlineStr">
        <is>
          <t>국내 측정업체 B</t>
        </is>
      </c>
      <c r="F5" s="17" t="inlineStr">
        <is>
          <t>해외 솔루션</t>
        </is>
      </c>
      <c r="G5" s="17" t="inlineStr">
        <is>
          <t>대학·연구기관</t>
        </is>
      </c>
    </row>
    <row r="6" ht="26" customHeight="1">
      <c r="B6" s="18" t="inlineStr">
        <is>
          <t>핵심 기술</t>
        </is>
      </c>
      <c r="C6" s="19" t="inlineStr">
        <is>
          <t>AI 광학분석+측정SOP</t>
        </is>
      </c>
      <c r="D6" s="20" t="inlineStr">
        <is>
          <t>조도계측 위주</t>
        </is>
      </c>
      <c r="E6" s="20" t="inlineStr">
        <is>
          <t>재귀반사 측정</t>
        </is>
      </c>
      <c r="F6" s="20" t="inlineStr">
        <is>
          <t>하드웨어 중심</t>
        </is>
      </c>
      <c r="G6" s="20" t="inlineStr">
        <is>
          <t>연구용, 상용화無</t>
        </is>
      </c>
    </row>
    <row r="7" ht="26" customHeight="1">
      <c r="B7" s="21" t="inlineStr">
        <is>
          <t>이동 측정</t>
        </is>
      </c>
      <c r="C7" s="19" t="inlineStr">
        <is>
          <t>차량탑재형 (개발중)</t>
        </is>
      </c>
      <c r="D7" s="22" t="inlineStr">
        <is>
          <t>고정 측정</t>
        </is>
      </c>
      <c r="E7" s="22" t="inlineStr">
        <is>
          <t>고정 측정</t>
        </is>
      </c>
      <c r="F7" s="22" t="inlineStr">
        <is>
          <t>일부 가능</t>
        </is>
      </c>
      <c r="G7" s="22" t="inlineStr">
        <is>
          <t>불가</t>
        </is>
      </c>
    </row>
    <row r="8" ht="26" customHeight="1">
      <c r="B8" s="18" t="inlineStr">
        <is>
          <t>CIE 88 준수</t>
        </is>
      </c>
      <c r="C8" s="19" t="inlineStr">
        <is>
          <t>준수 예정 (SOP 개발)</t>
        </is>
      </c>
      <c r="D8" s="20" t="inlineStr">
        <is>
          <t>부분 적용</t>
        </is>
      </c>
      <c r="E8" s="20" t="inlineStr">
        <is>
          <t>미확인</t>
        </is>
      </c>
      <c r="F8" s="20" t="inlineStr">
        <is>
          <t>준수</t>
        </is>
      </c>
      <c r="G8" s="20" t="inlineStr">
        <is>
          <t>해당없음</t>
        </is>
      </c>
    </row>
    <row r="9" ht="26" customHeight="1">
      <c r="B9" s="21" t="inlineStr">
        <is>
          <t>AI 분석 리포트</t>
        </is>
      </c>
      <c r="C9" s="19" t="inlineStr">
        <is>
          <t>개발중</t>
        </is>
      </c>
      <c r="D9" s="22" t="inlineStr">
        <is>
          <t>없음</t>
        </is>
      </c>
      <c r="E9" s="22" t="inlineStr">
        <is>
          <t>없음</t>
        </is>
      </c>
      <c r="F9" s="22" t="inlineStr">
        <is>
          <t>일부</t>
        </is>
      </c>
      <c r="G9" s="22" t="inlineStr">
        <is>
          <t>없음</t>
        </is>
      </c>
    </row>
    <row r="10" ht="26" customHeight="1">
      <c r="B10" s="18" t="inlineStr">
        <is>
          <t>하드웨어 패키지</t>
        </is>
      </c>
      <c r="C10" s="19" t="inlineStr">
        <is>
          <t>Lux-Guard 연계</t>
        </is>
      </c>
      <c r="D10" s="20" t="inlineStr">
        <is>
          <t>없음</t>
        </is>
      </c>
      <c r="E10" s="20" t="inlineStr">
        <is>
          <t>없음</t>
        </is>
      </c>
      <c r="F10" s="20" t="inlineStr">
        <is>
          <t>있음</t>
        </is>
      </c>
      <c r="G10" s="20" t="inlineStr">
        <is>
          <t>없음</t>
        </is>
      </c>
    </row>
    <row r="11" ht="26" customHeight="1">
      <c r="B11" s="21" t="inlineStr">
        <is>
          <t>B2G 레퍼런스</t>
        </is>
      </c>
      <c r="C11" s="19" t="inlineStr">
        <is>
          <t>구축중 (첫 계약 목표)</t>
        </is>
      </c>
      <c r="D11" s="22" t="inlineStr">
        <is>
          <t>다수 보유</t>
        </is>
      </c>
      <c r="E11" s="22" t="inlineStr">
        <is>
          <t>일부 보유</t>
        </is>
      </c>
      <c r="F11" s="22" t="inlineStr">
        <is>
          <t>국내 少</t>
        </is>
      </c>
      <c r="G11" s="22" t="inlineStr">
        <is>
          <t>없음</t>
        </is>
      </c>
    </row>
    <row r="12" ht="26" customHeight="1">
      <c r="B12" s="18" t="inlineStr">
        <is>
          <t>가격 경쟁력</t>
        </is>
      </c>
      <c r="C12" s="19" t="inlineStr">
        <is>
          <t>중간</t>
        </is>
      </c>
      <c r="D12" s="20" t="inlineStr">
        <is>
          <t>중간</t>
        </is>
      </c>
      <c r="E12" s="20" t="inlineStr">
        <is>
          <t>높음</t>
        </is>
      </c>
      <c r="F12" s="20" t="inlineStr">
        <is>
          <t>낮음(고가)</t>
        </is>
      </c>
      <c r="G12" s="20" t="inlineStr">
        <is>
          <t>없음</t>
        </is>
      </c>
    </row>
    <row r="13" ht="26" customHeight="1">
      <c r="B13" s="21" t="inlineStr">
        <is>
          <t>우리의 우위</t>
        </is>
      </c>
      <c r="C13" s="23" t="inlineStr">
        <is>
          <t>AI+SOP+HW 패키지</t>
        </is>
      </c>
      <c r="D13" s="22" t="inlineStr">
        <is>
          <t>–</t>
        </is>
      </c>
      <c r="E13" s="22" t="inlineStr">
        <is>
          <t>–</t>
        </is>
      </c>
      <c r="F13" s="22" t="inlineStr">
        <is>
          <t>–</t>
        </is>
      </c>
      <c r="G13" s="22" t="inlineStr">
        <is>
          <t>–</t>
        </is>
      </c>
    </row>
    <row r="15" ht="8" customHeight="1"/>
    <row r="16" ht="22" customHeight="1">
      <c r="B16" s="14" t="inlineStr">
        <is>
          <t xml:space="preserve">  ② 우리가 지금 당장 해야 할 경쟁력 강화 과제</t>
        </is>
      </c>
      <c r="C16" s="2" t="n"/>
      <c r="D16" s="2" t="n"/>
      <c r="E16" s="2" t="n"/>
      <c r="F16" s="2" t="n"/>
      <c r="G16" s="2" t="n"/>
    </row>
    <row r="17" ht="20" customHeight="1">
      <c r="B17" s="24" t="inlineStr">
        <is>
          <t>과제</t>
        </is>
      </c>
      <c r="C17" s="24" t="inlineStr">
        <is>
          <t>현재 상태</t>
        </is>
      </c>
      <c r="D17" s="24" t="inlineStr">
        <is>
          <t>목표</t>
        </is>
      </c>
      <c r="E17" s="24" t="inlineStr">
        <is>
          <t>기한</t>
        </is>
      </c>
      <c r="F17" s="24" t="inlineStr">
        <is>
          <t>담당</t>
        </is>
      </c>
      <c r="G17" s="24" t="inlineStr">
        <is>
          <t>중요도</t>
        </is>
      </c>
    </row>
    <row r="18" ht="26" customHeight="1">
      <c r="B18" s="18" t="inlineStr">
        <is>
          <t>KOLAS 측정기관 인증</t>
        </is>
      </c>
      <c r="C18" s="20" t="inlineStr">
        <is>
          <t>미보유</t>
        </is>
      </c>
      <c r="D18" s="20" t="inlineStr">
        <is>
          <t>인증 획득</t>
        </is>
      </c>
      <c r="E18" s="20" t="inlineStr">
        <is>
          <t>2026.하반기</t>
        </is>
      </c>
      <c r="F18" s="20" t="inlineStr"/>
      <c r="G18" s="20" t="inlineStr">
        <is>
          <t>★★★</t>
        </is>
      </c>
    </row>
    <row r="19" ht="26" customHeight="1">
      <c r="B19" s="21" t="inlineStr">
        <is>
          <t>CIE 88 기반 측정 SOP 완성</t>
        </is>
      </c>
      <c r="C19" s="22" t="inlineStr">
        <is>
          <t>초안 수준</t>
        </is>
      </c>
      <c r="D19" s="22" t="inlineStr">
        <is>
          <t>공식 SOP 문서화</t>
        </is>
      </c>
      <c r="E19" s="22" t="inlineStr">
        <is>
          <t>2026.Q2</t>
        </is>
      </c>
      <c r="F19" s="22" t="inlineStr"/>
      <c r="G19" s="22" t="inlineStr">
        <is>
          <t>★★★</t>
        </is>
      </c>
    </row>
    <row r="20" ht="26" customHeight="1">
      <c r="B20" s="18" t="inlineStr">
        <is>
          <t>AI 분석 리포트 자동화</t>
        </is>
      </c>
      <c r="C20" s="20" t="inlineStr">
        <is>
          <t>수동</t>
        </is>
      </c>
      <c r="D20" s="20" t="inlineStr">
        <is>
          <t>자동 생성 시스템</t>
        </is>
      </c>
      <c r="E20" s="20" t="inlineStr">
        <is>
          <t>2026.Q3</t>
        </is>
      </c>
      <c r="F20" s="20" t="inlineStr"/>
      <c r="G20" s="20" t="inlineStr">
        <is>
          <t>★★★</t>
        </is>
      </c>
    </row>
    <row r="21" ht="26" customHeight="1">
      <c r="B21" s="21" t="inlineStr">
        <is>
          <t>VisiScan 첫 계약 레퍼런스</t>
        </is>
      </c>
      <c r="C21" s="22" t="inlineStr">
        <is>
          <t>0건</t>
        </is>
      </c>
      <c r="D21" s="22" t="inlineStr">
        <is>
          <t>1건 이상</t>
        </is>
      </c>
      <c r="E21" s="22" t="inlineStr">
        <is>
          <t>2026.Q2</t>
        </is>
      </c>
      <c r="F21" s="22" t="inlineStr"/>
      <c r="G21" s="22" t="inlineStr">
        <is>
          <t>★★★</t>
        </is>
      </c>
    </row>
    <row r="22" ht="26" customHeight="1">
      <c r="B22" s="18" t="inlineStr">
        <is>
          <t>차량탑재 이동측정 시스템 완성</t>
        </is>
      </c>
      <c r="C22" s="20" t="inlineStr">
        <is>
          <t>설계중</t>
        </is>
      </c>
      <c r="D22" s="20" t="inlineStr">
        <is>
          <t>현장 운용 가능</t>
        </is>
      </c>
      <c r="E22" s="20" t="inlineStr">
        <is>
          <t>2026.Q3</t>
        </is>
      </c>
      <c r="F22" s="20" t="inlineStr"/>
      <c r="G22" s="20" t="inlineStr">
        <is>
          <t>★★</t>
        </is>
      </c>
    </row>
  </sheetData>
  <mergeCells count="3">
    <mergeCell ref="B2:G2"/>
    <mergeCell ref="B4:G4"/>
    <mergeCell ref="B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 ht="42" customHeight="1">
      <c r="B2" s="1" t="inlineStr">
        <is>
          <t>브링엔지니어링  |  OKR — 목표 및 핵심결과 관리</t>
        </is>
      </c>
      <c r="C2" s="2" t="n"/>
      <c r="D2" s="2" t="n"/>
      <c r="E2" s="2" t="n"/>
      <c r="F2" s="2" t="n"/>
      <c r="G2" s="2" t="n"/>
    </row>
    <row r="3" ht="8" customHeight="1"/>
    <row r="4" ht="36" customHeight="1">
      <c r="B4" s="3" t="inlineStr">
        <is>
          <t>OKR은 분기 단위로 설정·점검한다. O(Objective)=방향성 있는 목표, KR(Key Result)=측정 가능한 결과.
달성률 70% 이상이면 성공으로 본다. 100% 달성은 목표가 낮았다는 신호다.</t>
        </is>
      </c>
      <c r="C4" s="2" t="n"/>
      <c r="D4" s="2" t="n"/>
      <c r="E4" s="2" t="n"/>
      <c r="F4" s="2" t="n"/>
      <c r="G4" s="2" t="n"/>
    </row>
    <row r="5" ht="8" customHeight="1"/>
    <row r="6" ht="22" customHeight="1">
      <c r="B6" s="16" t="inlineStr">
        <is>
          <t xml:space="preserve">  2026 Q2 OKR (4월~6월)</t>
        </is>
      </c>
      <c r="C6" s="2" t="n"/>
      <c r="D6" s="2" t="n"/>
      <c r="E6" s="2" t="n"/>
      <c r="F6" s="2" t="n"/>
      <c r="G6" s="2" t="n"/>
    </row>
    <row r="7" ht="20" customHeight="1">
      <c r="B7" s="17" t="inlineStr">
        <is>
          <t>구분</t>
        </is>
      </c>
      <c r="C7" s="17" t="inlineStr">
        <is>
          <t>목표 / 핵심결과</t>
        </is>
      </c>
      <c r="D7" s="17" t="inlineStr">
        <is>
          <t>측정 기준</t>
        </is>
      </c>
      <c r="E7" s="17" t="inlineStr">
        <is>
          <t>목표값</t>
        </is>
      </c>
      <c r="F7" s="17" t="inlineStr">
        <is>
          <t>현재값</t>
        </is>
      </c>
      <c r="G7" s="17" t="inlineStr">
        <is>
          <t>달성률</t>
        </is>
      </c>
    </row>
    <row r="8" ht="26" customHeight="1">
      <c r="B8" s="25" t="inlineStr">
        <is>
          <t>O1</t>
        </is>
      </c>
      <c r="C8" s="25" t="inlineStr">
        <is>
          <t>VisiScan 첫 유료 계약 체결</t>
        </is>
      </c>
      <c r="D8" s="25" t="inlineStr"/>
      <c r="E8" s="25" t="inlineStr"/>
      <c r="F8" s="25" t="inlineStr"/>
      <c r="G8" s="25" t="inlineStr"/>
    </row>
    <row r="9" ht="26" customHeight="1">
      <c r="B9" s="22" t="inlineStr">
        <is>
          <t xml:space="preserve">  KR1.1</t>
        </is>
      </c>
      <c r="C9" s="22" t="inlineStr">
        <is>
          <t>측정 SOP 완성 및 내부 검증</t>
        </is>
      </c>
      <c r="D9" s="22" t="inlineStr">
        <is>
          <t>완료여부</t>
        </is>
      </c>
      <c r="E9" s="22" t="inlineStr">
        <is>
          <t>1건</t>
        </is>
      </c>
      <c r="F9" s="22" t="inlineStr">
        <is>
          <t>0%</t>
        </is>
      </c>
      <c r="G9" s="22" t="inlineStr"/>
    </row>
    <row r="10" ht="26" customHeight="1">
      <c r="B10" s="20" t="inlineStr">
        <is>
          <t xml:space="preserve">  KR1.2</t>
        </is>
      </c>
      <c r="C10" s="20" t="inlineStr">
        <is>
          <t>공공기관 제안 발송</t>
        </is>
      </c>
      <c r="D10" s="20" t="inlineStr">
        <is>
          <t>발송 건수</t>
        </is>
      </c>
      <c r="E10" s="20" t="inlineStr">
        <is>
          <t>5건</t>
        </is>
      </c>
      <c r="F10" s="20" t="inlineStr">
        <is>
          <t>0%</t>
        </is>
      </c>
      <c r="G10" s="20" t="inlineStr"/>
    </row>
    <row r="11" ht="26" customHeight="1">
      <c r="B11" s="22" t="inlineStr">
        <is>
          <t xml:space="preserve">  KR1.3</t>
        </is>
      </c>
      <c r="C11" s="22" t="inlineStr">
        <is>
          <t>유료 계약 체결</t>
        </is>
      </c>
      <c r="D11" s="22" t="inlineStr">
        <is>
          <t>계약 건수</t>
        </is>
      </c>
      <c r="E11" s="22" t="inlineStr">
        <is>
          <t>1건</t>
        </is>
      </c>
      <c r="F11" s="22" t="inlineStr">
        <is>
          <t>0%</t>
        </is>
      </c>
      <c r="G11" s="22" t="inlineStr"/>
    </row>
    <row r="12" ht="26" customHeight="1">
      <c r="B12" s="25" t="inlineStr">
        <is>
          <t>O2</t>
        </is>
      </c>
      <c r="C12" s="25" t="inlineStr">
        <is>
          <t>Shadow AI 기술 고도화 착수</t>
        </is>
      </c>
      <c r="D12" s="25" t="inlineStr"/>
      <c r="E12" s="25" t="inlineStr"/>
      <c r="F12" s="25" t="inlineStr"/>
      <c r="G12" s="25" t="inlineStr"/>
    </row>
    <row r="13" ht="26" customHeight="1">
      <c r="B13" s="22" t="inlineStr">
        <is>
          <t xml:space="preserve">  KR2.1</t>
        </is>
      </c>
      <c r="C13" s="22" t="inlineStr">
        <is>
          <t>LMK6 도착 후 통합 테스트</t>
        </is>
      </c>
      <c r="D13" s="22" t="inlineStr">
        <is>
          <t>완료여부</t>
        </is>
      </c>
      <c r="E13" s="22" t="inlineStr">
        <is>
          <t>1건</t>
        </is>
      </c>
      <c r="F13" s="22" t="inlineStr">
        <is>
          <t>대기중</t>
        </is>
      </c>
      <c r="G13" s="22" t="inlineStr"/>
    </row>
    <row r="14" ht="26" customHeight="1">
      <c r="B14" s="20" t="inlineStr">
        <is>
          <t xml:space="preserve">  KR2.2</t>
        </is>
      </c>
      <c r="C14" s="20" t="inlineStr">
        <is>
          <t>CIE 88 4조건 측정 데이터 확보</t>
        </is>
      </c>
      <c r="D14" s="20" t="inlineStr">
        <is>
          <t>데이터셋</t>
        </is>
      </c>
      <c r="E14" s="20" t="inlineStr">
        <is>
          <t>4종</t>
        </is>
      </c>
      <c r="F14" s="20" t="inlineStr">
        <is>
          <t>0%</t>
        </is>
      </c>
      <c r="G14" s="20" t="inlineStr"/>
    </row>
    <row r="15" ht="26" customHeight="1">
      <c r="B15" s="25" t="inlineStr">
        <is>
          <t>O3</t>
        </is>
      </c>
      <c r="C15" s="25" t="inlineStr">
        <is>
          <t>지원사업 2건 이상 진행</t>
        </is>
      </c>
      <c r="D15" s="25" t="inlineStr"/>
      <c r="E15" s="25" t="inlineStr"/>
      <c r="F15" s="25" t="inlineStr"/>
      <c r="G15" s="25" t="inlineStr"/>
    </row>
    <row r="16" ht="26" customHeight="1">
      <c r="B16" s="20" t="inlineStr">
        <is>
          <t xml:space="preserve">  KR3.1</t>
        </is>
      </c>
      <c r="C16" s="20" t="inlineStr">
        <is>
          <t>데이터바우처 선정</t>
        </is>
      </c>
      <c r="D16" s="20" t="inlineStr">
        <is>
          <t>선정여부</t>
        </is>
      </c>
      <c r="E16" s="20" t="inlineStr">
        <is>
          <t>1건</t>
        </is>
      </c>
      <c r="F16" s="20" t="inlineStr">
        <is>
          <t>신청중</t>
        </is>
      </c>
      <c r="G16" s="20" t="inlineStr"/>
    </row>
    <row r="17" ht="26" customHeight="1">
      <c r="B17" s="22" t="inlineStr">
        <is>
          <t xml:space="preserve">  KR3.2</t>
        </is>
      </c>
      <c r="C17" s="22" t="inlineStr">
        <is>
          <t>디딤돌 재도전 서류 완성</t>
        </is>
      </c>
      <c r="D17" s="22" t="inlineStr">
        <is>
          <t>완료여부</t>
        </is>
      </c>
      <c r="E17" s="22" t="inlineStr">
        <is>
          <t>1건</t>
        </is>
      </c>
      <c r="F17" s="22" t="inlineStr">
        <is>
          <t>준비중</t>
        </is>
      </c>
      <c r="G17" s="22" t="inlineStr"/>
    </row>
    <row r="18" ht="26" customHeight="1">
      <c r="B18" s="25" t="inlineStr">
        <is>
          <t>O4</t>
        </is>
      </c>
      <c r="C18" s="25" t="inlineStr">
        <is>
          <t>내부 운영체계 가동</t>
        </is>
      </c>
      <c r="D18" s="25" t="inlineStr"/>
      <c r="E18" s="25" t="inlineStr"/>
      <c r="F18" s="25" t="inlineStr"/>
      <c r="G18" s="25" t="inlineStr"/>
    </row>
    <row r="19" ht="26" customHeight="1">
      <c r="B19" s="22" t="inlineStr">
        <is>
          <t xml:space="preserve">  KR4.1</t>
        </is>
      </c>
      <c r="C19" s="22" t="inlineStr">
        <is>
          <t>주간보고 4주 연속 제출</t>
        </is>
      </c>
      <c r="D19" s="22" t="inlineStr">
        <is>
          <t>주 수</t>
        </is>
      </c>
      <c r="E19" s="22" t="inlineStr">
        <is>
          <t>4주</t>
        </is>
      </c>
      <c r="F19" s="22" t="inlineStr">
        <is>
          <t>0%</t>
        </is>
      </c>
      <c r="G19" s="22" t="inlineStr"/>
    </row>
    <row r="20" ht="26" customHeight="1">
      <c r="B20" s="20" t="inlineStr">
        <is>
          <t xml:space="preserve">  KR4.2</t>
        </is>
      </c>
      <c r="C20" s="20" t="inlineStr">
        <is>
          <t>운영 문서 10종 노션 업로드</t>
        </is>
      </c>
      <c r="D20" s="20" t="inlineStr">
        <is>
          <t>건수</t>
        </is>
      </c>
      <c r="E20" s="20" t="inlineStr">
        <is>
          <t>10건</t>
        </is>
      </c>
      <c r="F20" s="20" t="inlineStr">
        <is>
          <t>0%</t>
        </is>
      </c>
      <c r="G20" s="20" t="inlineStr"/>
    </row>
  </sheetData>
  <mergeCells count="3">
    <mergeCell ref="B2:G2"/>
    <mergeCell ref="B4:G4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8" customHeight="1"/>
    <row r="2" ht="42" customHeight="1">
      <c r="B2" s="1" t="inlineStr">
        <is>
          <t>브링엔지니어링  |  영업·고객 개발 파이프라인</t>
        </is>
      </c>
      <c r="C2" s="2" t="n"/>
      <c r="D2" s="2" t="n"/>
      <c r="E2" s="2" t="n"/>
      <c r="F2" s="2" t="n"/>
      <c r="G2" s="2" t="n"/>
      <c r="H2" s="2" t="n"/>
    </row>
    <row r="3" ht="8" customHeight="1"/>
    <row r="4" ht="22" customHeight="1">
      <c r="B4" s="16" t="inlineStr">
        <is>
          <t xml:space="preserve">  ① 잠재 고객 발굴 현황</t>
        </is>
      </c>
      <c r="C4" s="2" t="n"/>
      <c r="D4" s="2" t="n"/>
      <c r="E4" s="2" t="n"/>
      <c r="F4" s="2" t="n"/>
      <c r="G4" s="2" t="n"/>
      <c r="H4" s="2" t="n"/>
    </row>
    <row r="5" ht="20" customHeight="1">
      <c r="B5" s="17" t="inlineStr">
        <is>
          <t>기관·고객명</t>
        </is>
      </c>
      <c r="C5" s="17" t="inlineStr">
        <is>
          <t>구분</t>
        </is>
      </c>
      <c r="D5" s="17" t="inlineStr">
        <is>
          <t>담당자</t>
        </is>
      </c>
      <c r="E5" s="17" t="inlineStr">
        <is>
          <t>접촉 방법</t>
        </is>
      </c>
      <c r="F5" s="17" t="inlineStr">
        <is>
          <t>현재 단계</t>
        </is>
      </c>
      <c r="G5" s="17" t="inlineStr">
        <is>
          <t>예상 계약액</t>
        </is>
      </c>
      <c r="H5" s="17" t="inlineStr">
        <is>
          <t>다음 액션</t>
        </is>
      </c>
    </row>
    <row r="6" ht="28" customHeight="1">
      <c r="B6" s="18" t="inlineStr">
        <is>
          <t>한국도로공사 강원본부</t>
        </is>
      </c>
      <c r="C6" s="20" t="inlineStr">
        <is>
          <t>공공</t>
        </is>
      </c>
      <c r="D6" s="20" t="inlineStr"/>
      <c r="E6" s="20" t="inlineStr">
        <is>
          <t>직접 방문</t>
        </is>
      </c>
      <c r="F6" s="20" t="inlineStr">
        <is>
          <t>발굴</t>
        </is>
      </c>
      <c r="G6" s="20" t="inlineStr">
        <is>
          <t>미정</t>
        </is>
      </c>
      <c r="H6" s="20" t="inlineStr">
        <is>
          <t>공식 제안서 발송</t>
        </is>
      </c>
    </row>
    <row r="7" ht="28" customHeight="1">
      <c r="B7" s="21" t="inlineStr">
        <is>
          <t>강원도 도로관리과</t>
        </is>
      </c>
      <c r="C7" s="22" t="inlineStr">
        <is>
          <t>공공</t>
        </is>
      </c>
      <c r="D7" s="22" t="inlineStr"/>
      <c r="E7" s="22" t="inlineStr">
        <is>
          <t>지자체 공문</t>
        </is>
      </c>
      <c r="F7" s="22" t="inlineStr">
        <is>
          <t>접촉</t>
        </is>
      </c>
      <c r="G7" s="22" t="inlineStr">
        <is>
          <t>미정</t>
        </is>
      </c>
      <c r="H7" s="22" t="inlineStr">
        <is>
          <t>미팅 요청</t>
        </is>
      </c>
    </row>
    <row r="8" ht="28" customHeight="1">
      <c r="B8" s="18" t="inlineStr">
        <is>
          <t>원주시 도로과</t>
        </is>
      </c>
      <c r="C8" s="20" t="inlineStr">
        <is>
          <t>공공</t>
        </is>
      </c>
      <c r="D8" s="20" t="inlineStr"/>
      <c r="E8" s="20" t="inlineStr">
        <is>
          <t>지인 소개</t>
        </is>
      </c>
      <c r="F8" s="20" t="inlineStr">
        <is>
          <t>발굴</t>
        </is>
      </c>
      <c r="G8" s="20" t="inlineStr">
        <is>
          <t>미정</t>
        </is>
      </c>
      <c r="H8" s="20" t="inlineStr">
        <is>
          <t>담당자 파악</t>
        </is>
      </c>
    </row>
    <row r="9" ht="28" customHeight="1">
      <c r="B9" s="23" t="inlineStr">
        <is>
          <t>진주시 (PoC 현장)</t>
        </is>
      </c>
      <c r="C9" s="26" t="inlineStr">
        <is>
          <t>공공</t>
        </is>
      </c>
      <c r="D9" s="26" t="inlineStr"/>
      <c r="E9" s="26" t="inlineStr">
        <is>
          <t>기존 관계</t>
        </is>
      </c>
      <c r="F9" s="26" t="inlineStr">
        <is>
          <t>협의</t>
        </is>
      </c>
      <c r="G9" s="26" t="inlineStr">
        <is>
          <t>미정</t>
        </is>
      </c>
      <c r="H9" s="26" t="inlineStr">
        <is>
          <t>공식 계약 전환</t>
        </is>
      </c>
    </row>
    <row r="10" ht="28" customHeight="1">
      <c r="B10" s="27" t="inlineStr">
        <is>
          <t>상지대학교 캠퍼스</t>
        </is>
      </c>
      <c r="C10" s="28" t="inlineStr">
        <is>
          <t>교육기관</t>
        </is>
      </c>
      <c r="D10" s="28" t="inlineStr"/>
      <c r="E10" s="28" t="inlineStr">
        <is>
          <t>내부</t>
        </is>
      </c>
      <c r="F10" s="28" t="inlineStr">
        <is>
          <t>제안</t>
        </is>
      </c>
      <c r="G10" s="28" t="inlineStr">
        <is>
          <t>소규모</t>
        </is>
      </c>
      <c r="H10" s="28" t="inlineStr">
        <is>
          <t>파일럿 계약</t>
        </is>
      </c>
    </row>
    <row r="12" ht="8" customHeight="1"/>
    <row r="13" ht="22" customHeight="1">
      <c r="B13" s="4" t="inlineStr">
        <is>
          <t xml:space="preserve">  ② 영업 활동 기록</t>
        </is>
      </c>
      <c r="C13" s="2" t="n"/>
      <c r="D13" s="2" t="n"/>
      <c r="E13" s="2" t="n"/>
      <c r="F13" s="2" t="n"/>
      <c r="G13" s="2" t="n"/>
      <c r="H13" s="2" t="n"/>
    </row>
    <row r="14" ht="20" customHeight="1">
      <c r="B14" s="17" t="inlineStr">
        <is>
          <t>날짜</t>
        </is>
      </c>
      <c r="C14" s="17" t="inlineStr">
        <is>
          <t>기관·고객</t>
        </is>
      </c>
      <c r="D14" s="17" t="inlineStr">
        <is>
          <t>활동 내용</t>
        </is>
      </c>
      <c r="E14" s="17" t="inlineStr">
        <is>
          <t>결과·반응</t>
        </is>
      </c>
      <c r="F14" s="17" t="inlineStr">
        <is>
          <t>다음 약속</t>
        </is>
      </c>
      <c r="G14" s="17" t="inlineStr">
        <is>
          <t>담당</t>
        </is>
      </c>
      <c r="H14" s="17" t="inlineStr">
        <is>
          <t>비고</t>
        </is>
      </c>
    </row>
    <row r="15" ht="26" customHeight="1"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</row>
    <row r="16" ht="26" customHeight="1">
      <c r="B16" s="30" t="inlineStr"/>
      <c r="C16" s="30" t="inlineStr"/>
      <c r="D16" s="30" t="inlineStr"/>
      <c r="E16" s="30" t="inlineStr"/>
      <c r="F16" s="30" t="inlineStr"/>
      <c r="G16" s="30" t="inlineStr"/>
      <c r="H16" s="30" t="inlineStr"/>
    </row>
    <row r="17" ht="26" customHeight="1"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</row>
    <row r="18" ht="26" customHeight="1">
      <c r="B18" s="30" t="inlineStr"/>
      <c r="C18" s="30" t="inlineStr"/>
      <c r="D18" s="30" t="inlineStr"/>
      <c r="E18" s="30" t="inlineStr"/>
      <c r="F18" s="30" t="inlineStr"/>
      <c r="G18" s="30" t="inlineStr"/>
      <c r="H18" s="30" t="inlineStr"/>
    </row>
    <row r="19" ht="26" customHeight="1"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</row>
    <row r="20" ht="26" customHeight="1">
      <c r="B20" s="30" t="inlineStr"/>
      <c r="C20" s="30" t="inlineStr"/>
      <c r="D20" s="30" t="inlineStr"/>
      <c r="E20" s="30" t="inlineStr"/>
      <c r="F20" s="30" t="inlineStr"/>
      <c r="G20" s="30" t="inlineStr"/>
      <c r="H20" s="30" t="inlineStr"/>
    </row>
    <row r="21" ht="26" customHeight="1"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</row>
    <row r="22" ht="26" customHeight="1"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</row>
    <row r="24" ht="8" customHeight="1"/>
    <row r="25" ht="22" customHeight="1">
      <c r="B25" s="6" t="inlineStr">
        <is>
          <t xml:space="preserve">  ③ 제안서 발송 현황</t>
        </is>
      </c>
      <c r="C25" s="2" t="n"/>
      <c r="D25" s="2" t="n"/>
      <c r="E25" s="2" t="n"/>
      <c r="F25" s="2" t="n"/>
      <c r="G25" s="2" t="n"/>
      <c r="H25" s="2" t="n"/>
    </row>
    <row r="26" ht="20" customHeight="1">
      <c r="B26" s="31" t="inlineStr">
        <is>
          <t>제안서명</t>
        </is>
      </c>
      <c r="C26" s="31" t="inlineStr">
        <is>
          <t>대상 기관</t>
        </is>
      </c>
      <c r="D26" s="31" t="inlineStr">
        <is>
          <t>발송일</t>
        </is>
      </c>
      <c r="E26" s="31" t="inlineStr">
        <is>
          <t>담당자</t>
        </is>
      </c>
      <c r="F26" s="31" t="inlineStr">
        <is>
          <t>결과</t>
        </is>
      </c>
      <c r="G26" s="31" t="inlineStr">
        <is>
          <t>후속 조치</t>
        </is>
      </c>
      <c r="H26" s="31" t="inlineStr">
        <is>
          <t>비고</t>
        </is>
      </c>
    </row>
    <row r="27" ht="26" customHeight="1"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</row>
    <row r="28" ht="26" customHeight="1">
      <c r="B28" s="30" t="inlineStr"/>
      <c r="C28" s="30" t="inlineStr"/>
      <c r="D28" s="30" t="inlineStr"/>
      <c r="E28" s="30" t="inlineStr"/>
      <c r="F28" s="30" t="inlineStr"/>
      <c r="G28" s="30" t="inlineStr"/>
      <c r="H28" s="30" t="inlineStr"/>
    </row>
    <row r="29" ht="26" customHeight="1"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</row>
    <row r="30" ht="26" customHeight="1">
      <c r="B30" s="30" t="inlineStr"/>
      <c r="C30" s="30" t="inlineStr"/>
      <c r="D30" s="30" t="inlineStr"/>
      <c r="E30" s="30" t="inlineStr"/>
      <c r="F30" s="30" t="inlineStr"/>
      <c r="G30" s="30" t="inlineStr"/>
      <c r="H30" s="30" t="inlineStr"/>
    </row>
    <row r="31" ht="26" customHeight="1"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</row>
  </sheetData>
  <mergeCells count="4">
    <mergeCell ref="B13:H13"/>
    <mergeCell ref="B4:H4"/>
    <mergeCell ref="B2:H2"/>
    <mergeCell ref="B25:H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8" customHeight="1"/>
    <row r="2" ht="42" customHeight="1">
      <c r="B2" s="1" t="inlineStr">
        <is>
          <t>브링엔지니어링  |  재무·예산 관리</t>
        </is>
      </c>
      <c r="C2" s="2" t="n"/>
      <c r="D2" s="2" t="n"/>
      <c r="E2" s="2" t="n"/>
      <c r="F2" s="2" t="n"/>
      <c r="G2" s="2" t="n"/>
      <c r="H2" s="2" t="n"/>
    </row>
    <row r="3" ht="8" customHeight="1"/>
    <row r="4" ht="36" customHeight="1">
      <c r="B4" s="3" t="inlineStr">
        <is>
          <t>모든 수입·지출은 증빙과 함께 기록한다. 정부과제 예산은 항목별 집행 기준을 반드시 준수한다.
월말 잔액을 대표가 직접 확인하고 서명한다.</t>
        </is>
      </c>
      <c r="C4" s="2" t="n"/>
      <c r="D4" s="2" t="n"/>
      <c r="E4" s="2" t="n"/>
      <c r="F4" s="2" t="n"/>
      <c r="G4" s="2" t="n"/>
      <c r="H4" s="2" t="n"/>
    </row>
    <row r="5" ht="8" customHeight="1"/>
    <row r="6" ht="22" customHeight="1">
      <c r="B6" s="16" t="inlineStr">
        <is>
          <t xml:space="preserve">  ① 정부과제 예산 현황 (2026)</t>
        </is>
      </c>
      <c r="C6" s="2" t="n"/>
      <c r="D6" s="2" t="n"/>
      <c r="E6" s="2" t="n"/>
      <c r="F6" s="2" t="n"/>
      <c r="G6" s="2" t="n"/>
      <c r="H6" s="2" t="n"/>
    </row>
    <row r="7" ht="20" customHeight="1">
      <c r="B7" s="17" t="inlineStr">
        <is>
          <t>과제명</t>
        </is>
      </c>
      <c r="C7" s="17" t="inlineStr">
        <is>
          <t>총 예산(원)</t>
        </is>
      </c>
      <c r="D7" s="17" t="inlineStr">
        <is>
          <t>집행액(원)</t>
        </is>
      </c>
      <c r="E7" s="17" t="inlineStr">
        <is>
          <t>잔액(원)</t>
        </is>
      </c>
      <c r="F7" s="17" t="inlineStr">
        <is>
          <t>집행률(%)</t>
        </is>
      </c>
      <c r="G7" s="17" t="inlineStr">
        <is>
          <t>마감일</t>
        </is>
      </c>
      <c r="H7" s="17" t="inlineStr">
        <is>
          <t>담당</t>
        </is>
      </c>
    </row>
    <row r="8" ht="26" customHeight="1">
      <c r="B8" s="32" t="inlineStr">
        <is>
          <t>데이터바우처 2025</t>
        </is>
      </c>
      <c r="C8" s="33" t="inlineStr">
        <is>
          <t>6,000,000</t>
        </is>
      </c>
      <c r="D8" s="33" t="inlineStr">
        <is>
          <t>6,000,000</t>
        </is>
      </c>
      <c r="E8" s="34" t="inlineStr">
        <is>
          <t>0</t>
        </is>
      </c>
      <c r="F8" s="32">
        <f>D8/C8</f>
        <v/>
      </c>
      <c r="G8" s="32" t="inlineStr">
        <is>
          <t>2025.완료</t>
        </is>
      </c>
      <c r="H8" s="32" t="inlineStr"/>
    </row>
    <row r="9" ht="26" customHeight="1">
      <c r="B9" s="35" t="inlineStr">
        <is>
          <t>데이터바우처 2026</t>
        </is>
      </c>
      <c r="C9" s="36" t="inlineStr">
        <is>
          <t>6,000,000</t>
        </is>
      </c>
      <c r="D9" s="36" t="inlineStr">
        <is>
          <t>0</t>
        </is>
      </c>
      <c r="E9" s="37">
        <f>C9-D9</f>
        <v/>
      </c>
      <c r="F9" s="35">
        <f>D9/C9</f>
        <v/>
      </c>
      <c r="G9" s="35" t="inlineStr">
        <is>
          <t>2026.06</t>
        </is>
      </c>
      <c r="H9" s="35" t="inlineStr"/>
    </row>
    <row r="10" ht="26" customHeight="1">
      <c r="B10" s="32" t="inlineStr">
        <is>
          <t>에코스타트업 (신청중)</t>
        </is>
      </c>
      <c r="C10" s="33" t="inlineStr">
        <is>
          <t>미정</t>
        </is>
      </c>
      <c r="D10" s="33" t="inlineStr">
        <is>
          <t>0</t>
        </is>
      </c>
      <c r="E10" s="34" t="inlineStr"/>
      <c r="F10" s="32" t="inlineStr"/>
      <c r="G10" s="32" t="inlineStr"/>
      <c r="H10" s="32" t="inlineStr"/>
    </row>
    <row r="11" ht="26" customHeight="1">
      <c r="B11" s="35" t="inlineStr">
        <is>
          <t>디딤돌 (준비중)</t>
        </is>
      </c>
      <c r="C11" s="36" t="inlineStr">
        <is>
          <t>미정</t>
        </is>
      </c>
      <c r="D11" s="36" t="inlineStr">
        <is>
          <t>0</t>
        </is>
      </c>
      <c r="E11" s="37" t="inlineStr"/>
      <c r="F11" s="35" t="inlineStr"/>
      <c r="G11" s="35" t="inlineStr"/>
      <c r="H11" s="35" t="inlineStr"/>
    </row>
    <row r="13" ht="8" customHeight="1"/>
    <row r="14" ht="22" customHeight="1">
      <c r="B14" s="4" t="inlineStr">
        <is>
          <t xml:space="preserve">  ② 월별 수입·지출 요약</t>
        </is>
      </c>
      <c r="C14" s="2" t="n"/>
      <c r="D14" s="2" t="n"/>
      <c r="E14" s="2" t="n"/>
      <c r="F14" s="2" t="n"/>
      <c r="G14" s="2" t="n"/>
      <c r="H14" s="2" t="n"/>
    </row>
    <row r="15" ht="20" customHeight="1">
      <c r="B15" s="17" t="inlineStr">
        <is>
          <t>월</t>
        </is>
      </c>
      <c r="C15" s="17" t="inlineStr">
        <is>
          <t>수입(원)</t>
        </is>
      </c>
      <c r="D15" s="17" t="inlineStr">
        <is>
          <t>지출(원)</t>
        </is>
      </c>
      <c r="E15" s="17" t="inlineStr">
        <is>
          <t>순손익(원)</t>
        </is>
      </c>
      <c r="F15" s="17" t="inlineStr">
        <is>
          <t>누적잔액(원)</t>
        </is>
      </c>
      <c r="G15" s="17" t="inlineStr">
        <is>
          <t>주요 지출 내역</t>
        </is>
      </c>
      <c r="H15" s="17" t="inlineStr">
        <is>
          <t>비고</t>
        </is>
      </c>
    </row>
    <row r="16" ht="24" customHeight="1">
      <c r="B16" s="29" t="inlineStr">
        <is>
          <t>2026-01</t>
        </is>
      </c>
      <c r="C16" s="38" t="n"/>
      <c r="D16" s="38" t="n"/>
      <c r="E16" s="38">
        <f>C16-D16</f>
        <v/>
      </c>
      <c r="F16" s="38">
        <f>E16</f>
        <v/>
      </c>
      <c r="G16" s="39" t="n"/>
      <c r="H16" s="39" t="n"/>
    </row>
    <row r="17" ht="24" customHeight="1">
      <c r="B17" s="30" t="inlineStr">
        <is>
          <t>2026-02</t>
        </is>
      </c>
      <c r="C17" s="40" t="n"/>
      <c r="D17" s="40" t="n"/>
      <c r="E17" s="40">
        <f>C17-D17</f>
        <v/>
      </c>
      <c r="F17" s="40">
        <f>F16+E17</f>
        <v/>
      </c>
      <c r="G17" s="41" t="n"/>
      <c r="H17" s="41" t="n"/>
    </row>
    <row r="18" ht="24" customHeight="1">
      <c r="B18" s="42" t="inlineStr">
        <is>
          <t>2026-03</t>
        </is>
      </c>
      <c r="C18" s="43" t="n"/>
      <c r="D18" s="43" t="n"/>
      <c r="E18" s="43">
        <f>C18-D18</f>
        <v/>
      </c>
      <c r="F18" s="43">
        <f>F17+E18</f>
        <v/>
      </c>
      <c r="G18" s="44" t="n"/>
      <c r="H18" s="44" t="n"/>
    </row>
    <row r="19" ht="24" customHeight="1">
      <c r="B19" s="30" t="inlineStr">
        <is>
          <t>2026-04</t>
        </is>
      </c>
      <c r="C19" s="40" t="n"/>
      <c r="D19" s="40" t="n"/>
      <c r="E19" s="40">
        <f>C19-D19</f>
        <v/>
      </c>
      <c r="F19" s="40">
        <f>F18+E19</f>
        <v/>
      </c>
      <c r="G19" s="41" t="n"/>
      <c r="H19" s="41" t="n"/>
    </row>
    <row r="20" ht="24" customHeight="1">
      <c r="B20" s="29" t="inlineStr">
        <is>
          <t>2026-05</t>
        </is>
      </c>
      <c r="C20" s="38" t="n"/>
      <c r="D20" s="38" t="n"/>
      <c r="E20" s="38">
        <f>C20-D20</f>
        <v/>
      </c>
      <c r="F20" s="38">
        <f>F19+E20</f>
        <v/>
      </c>
      <c r="G20" s="39" t="n"/>
      <c r="H20" s="39" t="n"/>
    </row>
    <row r="21" ht="24" customHeight="1">
      <c r="B21" s="30" t="inlineStr">
        <is>
          <t>2026-06</t>
        </is>
      </c>
      <c r="C21" s="40" t="n"/>
      <c r="D21" s="40" t="n"/>
      <c r="E21" s="40">
        <f>C21-D21</f>
        <v/>
      </c>
      <c r="F21" s="40">
        <f>F20+E21</f>
        <v/>
      </c>
      <c r="G21" s="41" t="n"/>
      <c r="H21" s="41" t="n"/>
    </row>
    <row r="22" ht="24" customHeight="1">
      <c r="B22" s="29" t="inlineStr">
        <is>
          <t>2026-07</t>
        </is>
      </c>
      <c r="C22" s="38" t="n"/>
      <c r="D22" s="38" t="n"/>
      <c r="E22" s="38">
        <f>C22-D22</f>
        <v/>
      </c>
      <c r="F22" s="38">
        <f>F21+E22</f>
        <v/>
      </c>
      <c r="G22" s="39" t="n"/>
      <c r="H22" s="39" t="n"/>
    </row>
    <row r="23" ht="24" customHeight="1">
      <c r="B23" s="30" t="inlineStr">
        <is>
          <t>2026-08</t>
        </is>
      </c>
      <c r="C23" s="40" t="n"/>
      <c r="D23" s="40" t="n"/>
      <c r="E23" s="40">
        <f>C23-D23</f>
        <v/>
      </c>
      <c r="F23" s="40">
        <f>F22+E23</f>
        <v/>
      </c>
      <c r="G23" s="41" t="n"/>
      <c r="H23" s="41" t="n"/>
    </row>
    <row r="24" ht="24" customHeight="1">
      <c r="B24" s="29" t="inlineStr">
        <is>
          <t>2026-09</t>
        </is>
      </c>
      <c r="C24" s="38" t="n"/>
      <c r="D24" s="38" t="n"/>
      <c r="E24" s="38">
        <f>C24-D24</f>
        <v/>
      </c>
      <c r="F24" s="38">
        <f>F23+E24</f>
        <v/>
      </c>
      <c r="G24" s="39" t="n"/>
      <c r="H24" s="39" t="n"/>
    </row>
    <row r="25" ht="24" customHeight="1">
      <c r="B25" s="30" t="inlineStr">
        <is>
          <t>2026-10</t>
        </is>
      </c>
      <c r="C25" s="40" t="n"/>
      <c r="D25" s="40" t="n"/>
      <c r="E25" s="40">
        <f>C25-D25</f>
        <v/>
      </c>
      <c r="F25" s="40">
        <f>F24+E25</f>
        <v/>
      </c>
      <c r="G25" s="41" t="n"/>
      <c r="H25" s="41" t="n"/>
    </row>
    <row r="26" ht="24" customHeight="1">
      <c r="B26" s="29" t="inlineStr">
        <is>
          <t>2026-11</t>
        </is>
      </c>
      <c r="C26" s="38" t="n"/>
      <c r="D26" s="38" t="n"/>
      <c r="E26" s="38">
        <f>C26-D26</f>
        <v/>
      </c>
      <c r="F26" s="38">
        <f>F25+E26</f>
        <v/>
      </c>
      <c r="G26" s="39" t="n"/>
      <c r="H26" s="39" t="n"/>
    </row>
    <row r="27" ht="24" customHeight="1">
      <c r="B27" s="30" t="inlineStr">
        <is>
          <t>2026-12</t>
        </is>
      </c>
      <c r="C27" s="40" t="n"/>
      <c r="D27" s="40" t="n"/>
      <c r="E27" s="40">
        <f>C27-D27</f>
        <v/>
      </c>
      <c r="F27" s="40">
        <f>F26+E27</f>
        <v/>
      </c>
      <c r="G27" s="41" t="n"/>
      <c r="H27" s="41" t="n"/>
    </row>
    <row r="28" ht="26" customHeight="1">
      <c r="B28" s="45" t="inlineStr">
        <is>
          <t>연간 합계</t>
        </is>
      </c>
      <c r="C28" s="46">
        <f>SUM(C16:C27)</f>
        <v/>
      </c>
      <c r="D28" s="46">
        <f>SUM(D16:D27)</f>
        <v/>
      </c>
      <c r="E28" s="46">
        <f>SUM(E16:E27)</f>
        <v/>
      </c>
      <c r="F28" s="46" t="inlineStr"/>
      <c r="G28" s="2" t="n"/>
      <c r="H28" s="2" t="n"/>
    </row>
    <row r="29" ht="8" customHeight="1"/>
    <row r="30" ht="22" customHeight="1">
      <c r="B30" s="14" t="inlineStr">
        <is>
          <t xml:space="preserve">  ③ 주요 고정 비용 현황</t>
        </is>
      </c>
      <c r="C30" s="2" t="n"/>
      <c r="D30" s="2" t="n"/>
      <c r="E30" s="2" t="n"/>
      <c r="F30" s="2" t="n"/>
      <c r="G30" s="2" t="n"/>
      <c r="H30" s="2" t="n"/>
    </row>
    <row r="31" ht="20" customHeight="1">
      <c r="B31" s="24" t="inlineStr">
        <is>
          <t>항목</t>
        </is>
      </c>
      <c r="C31" s="24" t="inlineStr">
        <is>
          <t>월 비용(원)</t>
        </is>
      </c>
      <c r="D31" s="24" t="inlineStr">
        <is>
          <t>연 비용(원)</t>
        </is>
      </c>
      <c r="E31" s="24" t="inlineStr">
        <is>
          <t>지출 근거</t>
        </is>
      </c>
      <c r="F31" s="24" t="inlineStr">
        <is>
          <t>갱신일</t>
        </is>
      </c>
      <c r="G31" s="24" t="inlineStr">
        <is>
          <t>담당</t>
        </is>
      </c>
      <c r="H31" s="24" t="inlineStr">
        <is>
          <t>비고</t>
        </is>
      </c>
    </row>
    <row r="32" ht="26" customHeight="1">
      <c r="B32" s="47" t="inlineStr">
        <is>
          <t>창업보육센터 임대료</t>
        </is>
      </c>
      <c r="C32" s="48" t="inlineStr"/>
      <c r="D32" s="48">
        <f>C32*12</f>
        <v/>
      </c>
      <c r="E32" s="47" t="inlineStr">
        <is>
          <t>계약서</t>
        </is>
      </c>
      <c r="F32" s="47" t="inlineStr"/>
      <c r="G32" s="47" t="inlineStr"/>
      <c r="H32" s="47" t="inlineStr"/>
    </row>
    <row r="33" ht="26" customHeight="1">
      <c r="B33" s="49" t="inlineStr">
        <is>
          <t>인건비 합계</t>
        </is>
      </c>
      <c r="C33" s="50" t="inlineStr"/>
      <c r="D33" s="50">
        <f>C33*12</f>
        <v/>
      </c>
      <c r="E33" s="49" t="inlineStr">
        <is>
          <t>근로계약</t>
        </is>
      </c>
      <c r="F33" s="49" t="inlineStr"/>
      <c r="G33" s="49" t="inlineStr"/>
      <c r="H33" s="49" t="inlineStr"/>
    </row>
    <row r="34" ht="26" customHeight="1">
      <c r="B34" s="47" t="inlineStr">
        <is>
          <t>통신·클라우드</t>
        </is>
      </c>
      <c r="C34" s="48" t="inlineStr"/>
      <c r="D34" s="48">
        <f>C34*12</f>
        <v/>
      </c>
      <c r="E34" s="47" t="inlineStr">
        <is>
          <t>청구서</t>
        </is>
      </c>
      <c r="F34" s="47" t="inlineStr"/>
      <c r="G34" s="47" t="inlineStr"/>
      <c r="H34" s="47" t="inlineStr"/>
    </row>
    <row r="35" ht="26" customHeight="1">
      <c r="B35" s="49" t="inlineStr">
        <is>
          <t>보험료</t>
        </is>
      </c>
      <c r="C35" s="50" t="inlineStr"/>
      <c r="D35" s="50">
        <f>C35*12</f>
        <v/>
      </c>
      <c r="E35" s="49" t="inlineStr">
        <is>
          <t>보험증권</t>
        </is>
      </c>
      <c r="F35" s="49" t="inlineStr"/>
      <c r="G35" s="49" t="inlineStr"/>
      <c r="H35" s="49" t="inlineStr"/>
    </row>
    <row r="36" ht="26" customHeight="1">
      <c r="B36" s="47" t="inlineStr">
        <is>
          <t>기타 운영비</t>
        </is>
      </c>
      <c r="C36" s="48" t="inlineStr"/>
      <c r="D36" s="48">
        <f>C36*12</f>
        <v/>
      </c>
      <c r="E36" s="47" t="inlineStr"/>
      <c r="F36" s="47" t="inlineStr"/>
      <c r="G36" s="47" t="inlineStr"/>
      <c r="H36" s="47" t="inlineStr"/>
    </row>
    <row r="37" ht="26" customHeight="1">
      <c r="B37" s="51" t="inlineStr">
        <is>
          <t>합계</t>
        </is>
      </c>
      <c r="C37" s="52">
        <f>SUM(C32:C36)</f>
        <v/>
      </c>
      <c r="D37" s="52">
        <f>SUM(D32:D36)</f>
        <v/>
      </c>
      <c r="E37" s="51" t="inlineStr"/>
      <c r="F37" s="51" t="inlineStr"/>
      <c r="G37" s="51" t="inlineStr"/>
      <c r="H37" s="51" t="inlineStr"/>
    </row>
  </sheetData>
  <mergeCells count="6">
    <mergeCell ref="B14:H14"/>
    <mergeCell ref="B4:H4"/>
    <mergeCell ref="B6:H6"/>
    <mergeCell ref="B30:H30"/>
    <mergeCell ref="B2:H2"/>
    <mergeCell ref="B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8" customHeight="1"/>
    <row r="2" ht="42" customHeight="1">
      <c r="B2" s="1" t="inlineStr">
        <is>
          <t>브링엔지니어링  |  기술·R&amp;D 로드맵</t>
        </is>
      </c>
      <c r="C2" s="2" t="n"/>
      <c r="D2" s="2" t="n"/>
      <c r="E2" s="2" t="n"/>
      <c r="F2" s="2" t="n"/>
      <c r="G2" s="2" t="n"/>
      <c r="H2" s="2" t="n"/>
      <c r="I2" s="2" t="n"/>
    </row>
    <row r="3" ht="8" customHeight="1"/>
    <row r="4" ht="22" customHeight="1">
      <c r="B4" s="16" t="inlineStr">
        <is>
          <t xml:space="preserve">  ① TRL 현황 및 목표</t>
        </is>
      </c>
      <c r="C4" s="2" t="n"/>
      <c r="D4" s="2" t="n"/>
      <c r="E4" s="2" t="n"/>
      <c r="F4" s="2" t="n"/>
      <c r="G4" s="2" t="n"/>
      <c r="H4" s="2" t="n"/>
      <c r="I4" s="2" t="n"/>
    </row>
    <row r="5" ht="20" customHeight="1">
      <c r="B5" s="17" t="inlineStr">
        <is>
          <t>제품·기술</t>
        </is>
      </c>
      <c r="C5" s="17" t="inlineStr">
        <is>
          <t>현재 TRL</t>
        </is>
      </c>
      <c r="D5" s="17" t="inlineStr">
        <is>
          <t>목표 TRL</t>
        </is>
      </c>
      <c r="E5" s="17" t="inlineStr">
        <is>
          <t>목표 시점</t>
        </is>
      </c>
      <c r="F5" s="17" t="inlineStr">
        <is>
          <t>핵심 과제</t>
        </is>
      </c>
      <c r="G5" s="17" t="inlineStr">
        <is>
          <t>인증 필요</t>
        </is>
      </c>
      <c r="H5" s="53" t="inlineStr">
        <is>
          <t>예산</t>
        </is>
      </c>
      <c r="I5" s="17" t="inlineStr">
        <is>
          <t>비고</t>
        </is>
      </c>
    </row>
    <row r="6" ht="28" customHeight="1">
      <c r="B6" s="54" t="inlineStr">
        <is>
          <t>Shadow AI (터널 광학분석)</t>
        </is>
      </c>
      <c r="C6" s="55" t="inlineStr">
        <is>
          <t>5</t>
        </is>
      </c>
      <c r="D6" s="55" t="inlineStr">
        <is>
          <t>7</t>
        </is>
      </c>
      <c r="E6" s="32" t="inlineStr">
        <is>
          <t>2027</t>
        </is>
      </c>
      <c r="F6" s="32" t="inlineStr">
        <is>
          <t>LMK6 통합·4조건 검증</t>
        </is>
      </c>
      <c r="G6" s="32" t="inlineStr">
        <is>
          <t>KS C 3703</t>
        </is>
      </c>
      <c r="H6" s="2" t="n"/>
      <c r="I6" s="32" t="inlineStr"/>
    </row>
    <row r="7" ht="28" customHeight="1">
      <c r="B7" s="56" t="inlineStr">
        <is>
          <t>VisiScan (측정 서비스)</t>
        </is>
      </c>
      <c r="C7" s="57" t="inlineStr">
        <is>
          <t>4</t>
        </is>
      </c>
      <c r="D7" s="57" t="inlineStr">
        <is>
          <t>6</t>
        </is>
      </c>
      <c r="E7" s="35" t="inlineStr">
        <is>
          <t>2026.Q4</t>
        </is>
      </c>
      <c r="F7" s="35" t="inlineStr">
        <is>
          <t>KOLAS 인증·SOP 완성</t>
        </is>
      </c>
      <c r="G7" s="35" t="inlineStr">
        <is>
          <t>KOLAS</t>
        </is>
      </c>
      <c r="H7" s="2" t="n"/>
      <c r="I7" s="35" t="inlineStr"/>
    </row>
    <row r="8" ht="28" customHeight="1">
      <c r="B8" s="54" t="inlineStr">
        <is>
          <t>Lux-Guard (글레어 저감 HW)</t>
        </is>
      </c>
      <c r="C8" s="55" t="inlineStr">
        <is>
          <t>3</t>
        </is>
      </c>
      <c r="D8" s="55" t="inlineStr">
        <is>
          <t>5</t>
        </is>
      </c>
      <c r="E8" s="32" t="inlineStr">
        <is>
          <t>2027</t>
        </is>
      </c>
      <c r="F8" s="32" t="inlineStr">
        <is>
          <t>현장 설치 실증</t>
        </is>
      </c>
      <c r="G8" s="32" t="inlineStr">
        <is>
          <t>KC인증</t>
        </is>
      </c>
      <c r="H8" s="2" t="n"/>
      <c r="I8" s="32" t="inlineStr"/>
    </row>
    <row r="9" ht="28" customHeight="1">
      <c r="B9" s="56" t="inlineStr">
        <is>
          <t>FDInnovation (제설 IoT)</t>
        </is>
      </c>
      <c r="C9" s="57" t="inlineStr">
        <is>
          <t>3</t>
        </is>
      </c>
      <c r="D9" s="57" t="inlineStr">
        <is>
          <t>5</t>
        </is>
      </c>
      <c r="E9" s="35" t="inlineStr">
        <is>
          <t>2027</t>
        </is>
      </c>
      <c r="F9" s="35" t="inlineStr">
        <is>
          <t>캠퍼스 테스트베드</t>
        </is>
      </c>
      <c r="G9" s="35" t="inlineStr">
        <is>
          <t>없음</t>
        </is>
      </c>
      <c r="H9" s="2" t="n"/>
      <c r="I9" s="35" t="inlineStr">
        <is>
          <t>에코스타트업</t>
        </is>
      </c>
    </row>
    <row r="10" ht="28" customHeight="1">
      <c r="B10" s="54" t="inlineStr">
        <is>
          <t>차량탑재 이동측정</t>
        </is>
      </c>
      <c r="C10" s="55" t="inlineStr">
        <is>
          <t>2</t>
        </is>
      </c>
      <c r="D10" s="55" t="inlineStr">
        <is>
          <t>5</t>
        </is>
      </c>
      <c r="E10" s="32" t="inlineStr">
        <is>
          <t>2027</t>
        </is>
      </c>
      <c r="F10" s="32" t="inlineStr">
        <is>
          <t>Optical Flow·Dead Reckoning</t>
        </is>
      </c>
      <c r="G10" s="32" t="inlineStr">
        <is>
          <t>없음</t>
        </is>
      </c>
      <c r="H10" s="2" t="n"/>
      <c r="I10" s="32" t="inlineStr"/>
    </row>
    <row r="12" ht="8" customHeight="1"/>
    <row r="13" ht="22" customHeight="1">
      <c r="B13" s="4" t="inlineStr">
        <is>
          <t xml:space="preserve">  ② 핵심 기술 스택 현황</t>
        </is>
      </c>
      <c r="C13" s="2" t="n"/>
      <c r="D13" s="2" t="n"/>
      <c r="E13" s="2" t="n"/>
      <c r="F13" s="2" t="n"/>
      <c r="G13" s="2" t="n"/>
      <c r="H13" s="2" t="n"/>
      <c r="I13" s="2" t="n"/>
    </row>
    <row r="14" ht="20" customHeight="1">
      <c r="B14" s="17" t="inlineStr">
        <is>
          <t>기술 영역</t>
        </is>
      </c>
      <c r="C14" s="17" t="inlineStr">
        <is>
          <t>세부 기술</t>
        </is>
      </c>
      <c r="D14" s="17" t="inlineStr">
        <is>
          <t>현재 수준</t>
        </is>
      </c>
      <c r="E14" s="17" t="inlineStr">
        <is>
          <t>목표 수준</t>
        </is>
      </c>
      <c r="F14" s="17" t="inlineStr">
        <is>
          <t>학습·개발 방법</t>
        </is>
      </c>
      <c r="G14" s="17" t="inlineStr">
        <is>
          <t>담당</t>
        </is>
      </c>
      <c r="H14" s="53" t="inlineStr">
        <is>
          <t>기한</t>
        </is>
      </c>
      <c r="I14" s="17" t="inlineStr">
        <is>
          <t>비고</t>
        </is>
      </c>
    </row>
    <row r="15" ht="26" customHeight="1">
      <c r="B15" s="20" t="inlineStr">
        <is>
          <t>광학·측정</t>
        </is>
      </c>
      <c r="C15" s="20" t="inlineStr">
        <is>
          <t>CIE 88 측정 방법론</t>
        </is>
      </c>
      <c r="D15" s="20" t="inlineStr">
        <is>
          <t>이해</t>
        </is>
      </c>
      <c r="E15" s="20" t="inlineStr">
        <is>
          <t>적용·SOP화</t>
        </is>
      </c>
      <c r="F15" s="20" t="inlineStr">
        <is>
          <t>국제표준 문서 분석</t>
        </is>
      </c>
      <c r="G15" s="20" t="inlineStr"/>
      <c r="H15" s="2" t="n"/>
      <c r="I15" s="20" t="inlineStr">
        <is>
          <t>2026.Q2</t>
        </is>
      </c>
    </row>
    <row r="16" ht="26" customHeight="1">
      <c r="B16" s="22" t="inlineStr">
        <is>
          <t>광학·측정</t>
        </is>
      </c>
      <c r="C16" s="22" t="inlineStr">
        <is>
          <t>LMK6 카메라 운용</t>
        </is>
      </c>
      <c r="D16" s="22" t="inlineStr">
        <is>
          <t>입문</t>
        </is>
      </c>
      <c r="E16" s="22" t="inlineStr">
        <is>
          <t>숙련</t>
        </is>
      </c>
      <c r="F16" s="22" t="inlineStr">
        <is>
          <t>장비 운용 훈련</t>
        </is>
      </c>
      <c r="G16" s="22" t="inlineStr"/>
      <c r="H16" s="2" t="n"/>
      <c r="I16" s="22" t="inlineStr">
        <is>
          <t>2026.06~</t>
        </is>
      </c>
    </row>
    <row r="17" ht="26" customHeight="1">
      <c r="B17" s="20" t="inlineStr">
        <is>
          <t>AI·컴퓨터비전</t>
        </is>
      </c>
      <c r="C17" s="20" t="inlineStr">
        <is>
          <t>터널 휘도·조도 분석</t>
        </is>
      </c>
      <c r="D17" s="20" t="inlineStr">
        <is>
          <t>TRL5</t>
        </is>
      </c>
      <c r="E17" s="20" t="inlineStr">
        <is>
          <t>TRL7</t>
        </is>
      </c>
      <c r="F17" s="20" t="inlineStr">
        <is>
          <t>데이터 축적·모델고도화</t>
        </is>
      </c>
      <c r="G17" s="20" t="inlineStr"/>
      <c r="H17" s="2" t="n"/>
      <c r="I17" s="20" t="inlineStr"/>
    </row>
    <row r="18" ht="26" customHeight="1">
      <c r="B18" s="22" t="inlineStr">
        <is>
          <t>AI·컴퓨터비전</t>
        </is>
      </c>
      <c r="C18" s="22" t="inlineStr">
        <is>
          <t>Optical Flow (영상처리)</t>
        </is>
      </c>
      <c r="D18" s="22" t="inlineStr">
        <is>
          <t>설계</t>
        </is>
      </c>
      <c r="E18" s="22" t="inlineStr">
        <is>
          <t>구현</t>
        </is>
      </c>
      <c r="F18" s="22" t="inlineStr">
        <is>
          <t>OpenCV·Lucas-Kanade</t>
        </is>
      </c>
      <c r="G18" s="22" t="inlineStr"/>
      <c r="H18" s="2" t="n"/>
      <c r="I18" s="22" t="inlineStr"/>
    </row>
    <row r="19" ht="26" customHeight="1">
      <c r="B19" s="20" t="inlineStr">
        <is>
          <t>AI·컴퓨터비전</t>
        </is>
      </c>
      <c r="C19" s="20" t="inlineStr">
        <is>
          <t>Visual Odometry·DR</t>
        </is>
      </c>
      <c r="D19" s="20" t="inlineStr">
        <is>
          <t>설계</t>
        </is>
      </c>
      <c r="E19" s="20" t="inlineStr">
        <is>
          <t>구현</t>
        </is>
      </c>
      <c r="F19" s="20" t="inlineStr">
        <is>
          <t>논문·오픈소스 활용</t>
        </is>
      </c>
      <c r="G19" s="20" t="inlineStr"/>
      <c r="H19" s="2" t="n"/>
      <c r="I19" s="20" t="inlineStr"/>
    </row>
    <row r="20" ht="26" customHeight="1">
      <c r="B20" s="22" t="inlineStr">
        <is>
          <t>SW 개발</t>
        </is>
      </c>
      <c r="C20" s="22" t="inlineStr">
        <is>
          <t>리포트 자동화 파이프라인</t>
        </is>
      </c>
      <c r="D20" s="22" t="inlineStr">
        <is>
          <t>없음</t>
        </is>
      </c>
      <c r="E20" s="22" t="inlineStr">
        <is>
          <t>완성</t>
        </is>
      </c>
      <c r="F20" s="22" t="inlineStr">
        <is>
          <t>Python·PDF 생성</t>
        </is>
      </c>
      <c r="G20" s="22" t="inlineStr"/>
      <c r="H20" s="2" t="n"/>
      <c r="I20" s="22" t="inlineStr">
        <is>
          <t>2026.Q3</t>
        </is>
      </c>
    </row>
    <row r="21" ht="26" customHeight="1">
      <c r="B21" s="20" t="inlineStr">
        <is>
          <t>HW·IoT</t>
        </is>
      </c>
      <c r="C21" s="20" t="inlineStr">
        <is>
          <t>FDInnovation 센서 통합</t>
        </is>
      </c>
      <c r="D21" s="20" t="inlineStr">
        <is>
          <t>TRL3</t>
        </is>
      </c>
      <c r="E21" s="20" t="inlineStr">
        <is>
          <t>TRL5</t>
        </is>
      </c>
      <c r="F21" s="20" t="inlineStr">
        <is>
          <t>현장 테스트 반복</t>
        </is>
      </c>
      <c r="G21" s="20" t="inlineStr"/>
      <c r="H21" s="2" t="n"/>
      <c r="I21" s="20" t="inlineStr">
        <is>
          <t>2027</t>
        </is>
      </c>
    </row>
  </sheetData>
  <mergeCells count="5">
    <mergeCell ref="H5"/>
    <mergeCell ref="B13:I13"/>
    <mergeCell ref="B2:I2"/>
    <mergeCell ref="B4:I4"/>
    <mergeCell ref="H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8" customHeight="1"/>
    <row r="2" ht="42" customHeight="1">
      <c r="B2" s="1" t="inlineStr">
        <is>
          <t>브링엔지니어링  |  브랜드·홍보 관리</t>
        </is>
      </c>
      <c r="C2" s="2" t="n"/>
      <c r="D2" s="2" t="n"/>
      <c r="E2" s="2" t="n"/>
      <c r="F2" s="2" t="n"/>
      <c r="G2" s="2" t="n"/>
    </row>
    <row r="3" ht="8" customHeight="1"/>
    <row r="4" ht="22" customHeight="1">
      <c r="B4" s="16" t="inlineStr">
        <is>
          <t xml:space="preserve">  ① 수상·인증·레퍼런스 이력 (회사 자산)</t>
        </is>
      </c>
      <c r="C4" s="2" t="n"/>
      <c r="D4" s="2" t="n"/>
      <c r="E4" s="2" t="n"/>
      <c r="F4" s="2" t="n"/>
      <c r="G4" s="2" t="n"/>
    </row>
    <row r="5" ht="20" customHeight="1">
      <c r="B5" s="17" t="inlineStr">
        <is>
          <t>구분</t>
        </is>
      </c>
      <c r="C5" s="17" t="inlineStr">
        <is>
          <t>내용</t>
        </is>
      </c>
      <c r="D5" s="17" t="inlineStr">
        <is>
          <t>수여기관</t>
        </is>
      </c>
      <c r="E5" s="17" t="inlineStr">
        <is>
          <t>날짜</t>
        </is>
      </c>
      <c r="F5" s="17" t="inlineStr">
        <is>
          <t>활용처</t>
        </is>
      </c>
      <c r="G5" s="17" t="inlineStr">
        <is>
          <t>비고</t>
        </is>
      </c>
    </row>
    <row r="6" ht="26" customHeight="1">
      <c r="B6" s="23" t="inlineStr">
        <is>
          <t>수상</t>
        </is>
      </c>
      <c r="C6" s="23" t="inlineStr">
        <is>
          <t>DeXplore Global 대상</t>
        </is>
      </c>
      <c r="D6" s="26" t="inlineStr">
        <is>
          <t>DeXplore</t>
        </is>
      </c>
      <c r="E6" s="26" t="inlineStr">
        <is>
          <t>2025</t>
        </is>
      </c>
      <c r="F6" s="26" t="inlineStr">
        <is>
          <t>IR·사업계획서</t>
        </is>
      </c>
      <c r="G6" s="26" t="inlineStr"/>
    </row>
    <row r="7" ht="26" customHeight="1">
      <c r="B7" s="23" t="inlineStr">
        <is>
          <t>수상</t>
        </is>
      </c>
      <c r="C7" s="23" t="inlineStr">
        <is>
          <t>기타 8개 수상</t>
        </is>
      </c>
      <c r="D7" s="26" t="inlineStr">
        <is>
          <t>각 기관</t>
        </is>
      </c>
      <c r="E7" s="26" t="inlineStr">
        <is>
          <t>2025</t>
        </is>
      </c>
      <c r="F7" s="26" t="inlineStr"/>
      <c r="G7" s="26" t="inlineStr">
        <is>
          <t>총 9개</t>
        </is>
      </c>
    </row>
    <row r="8" ht="26" customHeight="1">
      <c r="B8" s="25" t="inlineStr">
        <is>
          <t>인증</t>
        </is>
      </c>
      <c r="C8" s="25" t="inlineStr">
        <is>
          <t>TRL 5 인증</t>
        </is>
      </c>
      <c r="D8" s="19" t="inlineStr">
        <is>
          <t>평가기관</t>
        </is>
      </c>
      <c r="E8" s="19" t="inlineStr">
        <is>
          <t>2025</t>
        </is>
      </c>
      <c r="F8" s="19" t="inlineStr">
        <is>
          <t>기술력 증빙</t>
        </is>
      </c>
      <c r="G8" s="19" t="inlineStr">
        <is>
          <t>Shadow AI</t>
        </is>
      </c>
    </row>
    <row r="9" ht="26" customHeight="1">
      <c r="B9" s="21" t="inlineStr">
        <is>
          <t>성과</t>
        </is>
      </c>
      <c r="C9" s="21" t="inlineStr">
        <is>
          <t>터널 PoC — 직사광 51.91% 저감</t>
        </is>
      </c>
      <c r="D9" s="22" t="inlineStr">
        <is>
          <t>현장</t>
        </is>
      </c>
      <c r="E9" s="22" t="inlineStr">
        <is>
          <t>2025</t>
        </is>
      </c>
      <c r="F9" s="22" t="inlineStr">
        <is>
          <t>레퍼런스</t>
        </is>
      </c>
      <c r="G9" s="22" t="inlineStr">
        <is>
          <t>진주 폐터널</t>
        </is>
      </c>
    </row>
    <row r="10" ht="26" customHeight="1">
      <c r="B10" s="27" t="inlineStr">
        <is>
          <t>선정</t>
        </is>
      </c>
      <c r="C10" s="27" t="inlineStr">
        <is>
          <t>정부지원사업 6개 선정</t>
        </is>
      </c>
      <c r="D10" s="28" t="inlineStr">
        <is>
          <t>각 기관</t>
        </is>
      </c>
      <c r="E10" s="28" t="inlineStr">
        <is>
          <t>2025~</t>
        </is>
      </c>
      <c r="F10" s="28" t="inlineStr">
        <is>
          <t>IR·홍보</t>
        </is>
      </c>
      <c r="G10" s="28" t="inlineStr"/>
    </row>
    <row r="11" ht="26" customHeight="1">
      <c r="B11" s="21" t="inlineStr">
        <is>
          <t>지재권</t>
        </is>
      </c>
      <c r="C11" s="21" t="inlineStr">
        <is>
          <t>특허 2건 출원</t>
        </is>
      </c>
      <c r="D11" s="22" t="inlineStr">
        <is>
          <t>특허청</t>
        </is>
      </c>
      <c r="E11" s="22" t="inlineStr">
        <is>
          <t>2025</t>
        </is>
      </c>
      <c r="F11" s="22" t="inlineStr">
        <is>
          <t>기술보호</t>
        </is>
      </c>
      <c r="G11" s="22" t="inlineStr"/>
    </row>
    <row r="12" ht="26" customHeight="1">
      <c r="B12" s="18" t="inlineStr">
        <is>
          <t>MOU</t>
        </is>
      </c>
      <c r="C12" s="18" t="inlineStr">
        <is>
          <t>3개 기관 체결</t>
        </is>
      </c>
      <c r="D12" s="20" t="inlineStr">
        <is>
          <t>각 기관</t>
        </is>
      </c>
      <c r="E12" s="20" t="inlineStr">
        <is>
          <t>2025~</t>
        </is>
      </c>
      <c r="F12" s="20" t="inlineStr">
        <is>
          <t>파트너십</t>
        </is>
      </c>
      <c r="G12" s="20" t="inlineStr"/>
    </row>
    <row r="14" ht="8" customHeight="1"/>
    <row r="15" ht="22" customHeight="1">
      <c r="B15" s="4" t="inlineStr">
        <is>
          <t xml:space="preserve">  ② 대외 홍보 채널 현황</t>
        </is>
      </c>
      <c r="C15" s="2" t="n"/>
      <c r="D15" s="2" t="n"/>
      <c r="E15" s="2" t="n"/>
      <c r="F15" s="2" t="n"/>
      <c r="G15" s="2" t="n"/>
    </row>
    <row r="16" ht="20" customHeight="1">
      <c r="B16" s="17" t="inlineStr">
        <is>
          <t>채널</t>
        </is>
      </c>
      <c r="C16" s="17" t="inlineStr">
        <is>
          <t>계정·URL</t>
        </is>
      </c>
      <c r="D16" s="17" t="inlineStr">
        <is>
          <t>현재 상태</t>
        </is>
      </c>
      <c r="E16" s="17" t="inlineStr">
        <is>
          <t>팔로워·구독</t>
        </is>
      </c>
      <c r="F16" s="17" t="inlineStr">
        <is>
          <t>담당</t>
        </is>
      </c>
      <c r="G16" s="17" t="inlineStr">
        <is>
          <t>업데이트 주기</t>
        </is>
      </c>
    </row>
    <row r="17" ht="26" customHeight="1">
      <c r="B17" s="58" t="inlineStr">
        <is>
          <t>공식 웹사이트</t>
        </is>
      </c>
      <c r="C17" s="29" t="inlineStr"/>
      <c r="D17" s="29" t="inlineStr">
        <is>
          <t>운영중</t>
        </is>
      </c>
      <c r="E17" s="29" t="inlineStr"/>
      <c r="F17" s="29" t="inlineStr"/>
      <c r="G17" s="29" t="inlineStr"/>
    </row>
    <row r="18" ht="26" customHeight="1">
      <c r="B18" s="59" t="inlineStr">
        <is>
          <t>LinkedIn</t>
        </is>
      </c>
      <c r="C18" s="30" t="inlineStr"/>
      <c r="D18" s="30" t="inlineStr"/>
      <c r="E18" s="30" t="inlineStr"/>
      <c r="F18" s="30" t="inlineStr"/>
      <c r="G18" s="30" t="inlineStr">
        <is>
          <t>월 1~2회</t>
        </is>
      </c>
    </row>
    <row r="19" ht="26" customHeight="1">
      <c r="B19" s="58" t="inlineStr">
        <is>
          <t>Instagram</t>
        </is>
      </c>
      <c r="C19" s="29" t="inlineStr"/>
      <c r="D19" s="29" t="inlineStr"/>
      <c r="E19" s="29" t="inlineStr"/>
      <c r="F19" s="29" t="inlineStr"/>
      <c r="G19" s="29" t="inlineStr"/>
    </row>
    <row r="20" ht="26" customHeight="1">
      <c r="B20" s="59" t="inlineStr">
        <is>
          <t>정부 기관 DB 등록</t>
        </is>
      </c>
      <c r="C20" s="30" t="inlineStr">
        <is>
          <t>도공기술마켓 등</t>
        </is>
      </c>
      <c r="D20" s="30" t="inlineStr">
        <is>
          <t>준비중</t>
        </is>
      </c>
      <c r="E20" s="30" t="inlineStr"/>
      <c r="F20" s="30" t="inlineStr"/>
      <c r="G20" s="30" t="inlineStr"/>
    </row>
    <row r="21" ht="26" customHeight="1">
      <c r="B21" s="58" t="inlineStr">
        <is>
          <t>언론 보도</t>
        </is>
      </c>
      <c r="C21" s="29" t="inlineStr"/>
      <c r="D21" s="29" t="inlineStr">
        <is>
          <t>0건</t>
        </is>
      </c>
      <c r="E21" s="29" t="inlineStr"/>
      <c r="F21" s="29" t="inlineStr"/>
      <c r="G21" s="29" t="inlineStr">
        <is>
          <t>목표: 2026 1건</t>
        </is>
      </c>
    </row>
    <row r="23" ht="8" customHeight="1"/>
    <row r="24" ht="22" customHeight="1">
      <c r="B24" s="6" t="inlineStr">
        <is>
          <t xml:space="preserve">  ③ 콘텐츠·홍보 계획</t>
        </is>
      </c>
      <c r="C24" s="2" t="n"/>
      <c r="D24" s="2" t="n"/>
      <c r="E24" s="2" t="n"/>
      <c r="F24" s="2" t="n"/>
      <c r="G24" s="2" t="n"/>
    </row>
    <row r="25" ht="20" customHeight="1">
      <c r="B25" s="31" t="inlineStr">
        <is>
          <t>콘텐츠 유형</t>
        </is>
      </c>
      <c r="C25" s="31" t="inlineStr">
        <is>
          <t>주제</t>
        </is>
      </c>
      <c r="D25" s="31" t="inlineStr">
        <is>
          <t>목적</t>
        </is>
      </c>
      <c r="E25" s="31" t="inlineStr">
        <is>
          <t>채널</t>
        </is>
      </c>
      <c r="F25" s="31" t="inlineStr">
        <is>
          <t>담당</t>
        </is>
      </c>
      <c r="G25" s="31" t="inlineStr">
        <is>
          <t>예정일</t>
        </is>
      </c>
    </row>
    <row r="26" ht="26" customHeight="1">
      <c r="B26" s="29" t="inlineStr"/>
      <c r="C26" s="29" t="inlineStr"/>
      <c r="D26" s="29" t="inlineStr"/>
      <c r="E26" s="29" t="inlineStr"/>
      <c r="F26" s="29" t="inlineStr"/>
      <c r="G26" s="29" t="inlineStr"/>
    </row>
    <row r="27" ht="26" customHeight="1">
      <c r="B27" s="30" t="inlineStr"/>
      <c r="C27" s="30" t="inlineStr"/>
      <c r="D27" s="30" t="inlineStr"/>
      <c r="E27" s="30" t="inlineStr"/>
      <c r="F27" s="30" t="inlineStr"/>
      <c r="G27" s="30" t="inlineStr"/>
    </row>
    <row r="28" ht="26" customHeight="1">
      <c r="B28" s="29" t="inlineStr"/>
      <c r="C28" s="29" t="inlineStr"/>
      <c r="D28" s="29" t="inlineStr"/>
      <c r="E28" s="29" t="inlineStr"/>
      <c r="F28" s="29" t="inlineStr"/>
      <c r="G28" s="29" t="inlineStr"/>
    </row>
    <row r="29" ht="26" customHeight="1">
      <c r="B29" s="30" t="inlineStr"/>
      <c r="C29" s="30" t="inlineStr"/>
      <c r="D29" s="30" t="inlineStr"/>
      <c r="E29" s="30" t="inlineStr"/>
      <c r="F29" s="30" t="inlineStr"/>
      <c r="G29" s="30" t="inlineStr"/>
    </row>
    <row r="30" ht="26" customHeight="1">
      <c r="B30" s="29" t="inlineStr"/>
      <c r="C30" s="29" t="inlineStr"/>
      <c r="D30" s="29" t="inlineStr"/>
      <c r="E30" s="29" t="inlineStr"/>
      <c r="F30" s="29" t="inlineStr"/>
      <c r="G30" s="29" t="inlineStr"/>
    </row>
    <row r="31" ht="26" customHeight="1">
      <c r="B31" s="30" t="inlineStr"/>
      <c r="C31" s="30" t="inlineStr"/>
      <c r="D31" s="30" t="inlineStr"/>
      <c r="E31" s="30" t="inlineStr"/>
      <c r="F31" s="30" t="inlineStr"/>
      <c r="G31" s="30" t="inlineStr"/>
    </row>
  </sheetData>
  <mergeCells count="4">
    <mergeCell ref="B24:G24"/>
    <mergeCell ref="B2:G2"/>
    <mergeCell ref="B4:G4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2026-03-08T02:43:32Z</dcterms:created>
  <dcterms:modified xmlns:dcterms="http://purl.org/dc/terms/" xmlns:xsi="http://www.w3.org/2001/XMLSchema-instance" xsi:type="dcterms:W3CDTF">2026-03-08T02:43:33Z</dcterms:modified>
</cp:coreProperties>
</file>